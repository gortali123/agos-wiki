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defaultThemeVersion="166925"/>
  <mc:AlternateContent xmlns:mc="http://schemas.openxmlformats.org/markup-compatibility/2006">
    <mc:Choice Requires="x15">
      <x15ac:absPath xmlns:x15ac="http://schemas.microsoft.com/office/spreadsheetml/2010/11/ac" url="https://reply.sharepoint.com/sites/AGOSX-GARAANALISI2/Shared Documents/AGOSX-ANALISI/02 - PROGETTO/_Documentazione/Data Quality/"/>
    </mc:Choice>
  </mc:AlternateContent>
  <xr:revisionPtr revIDLastSave="0" documentId="8_{796A9569-7EA2-4065-9ED3-4CEC53A7EAF5}" xr6:coauthVersionLast="47" xr6:coauthVersionMax="47" xr10:uidLastSave="{00000000-0000-0000-0000-000000000000}"/>
  <bookViews>
    <workbookView xWindow="28680" yWindow="-120" windowWidth="29040" windowHeight="15720" xr2:uid="{00000000-000D-0000-FFFF-FFFF00000000}"/>
  </bookViews>
  <sheets>
    <sheet name="KPI" sheetId="3" r:id="rId1"/>
    <sheet name="DQ Rules" sheetId="1" r:id="rId2"/>
    <sheet name="BSN Term e DQ Rule" sheetId="2" r:id="rId3"/>
    <sheet name="DIV IFRS9" sheetId="4" r:id="rId4"/>
    <sheet name="controlli_tirso_fase_1_2" sheetId="5" r:id="rId5"/>
  </sheets>
  <externalReferences>
    <externalReference r:id="rId6"/>
  </externalReferences>
  <definedNames>
    <definedName name="_xlnm._FilterDatabase" localSheetId="2" hidden="1">'BSN Term e DQ Rule'!$A$1:$C$391</definedName>
    <definedName name="_xlnm._FilterDatabase" localSheetId="3" hidden="1">'DIV IFRS9'!$A$1:$D$212</definedName>
    <definedName name="_xlnm._FilterDatabase" localSheetId="1" hidden="1">'DQ Rules'!$A$1:$G$439</definedName>
    <definedName name="_xlnm._FilterDatabase" localSheetId="0" hidden="1">KPI!$A$1:$AC$398</definedName>
    <definedName name="controlli_tirso_fase_1_2">controlli_tirso_fase_1_2!$B$1:$E$22</definedName>
    <definedName name="div_rrf_contratti">'DIV IFRS9'!$B$1:$D$203</definedName>
    <definedName name="div_rrf_controparti">#REF!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98" i="3" l="1"/>
  <c r="N397" i="3"/>
  <c r="N396" i="3"/>
  <c r="N395" i="3"/>
  <c r="N394" i="3"/>
  <c r="N393" i="3"/>
  <c r="N392" i="3"/>
  <c r="N391" i="3"/>
  <c r="N390" i="3"/>
  <c r="N389" i="3"/>
  <c r="N388" i="3"/>
  <c r="N387" i="3"/>
  <c r="N386" i="3"/>
  <c r="N385" i="3"/>
  <c r="N384" i="3"/>
  <c r="N383" i="3"/>
  <c r="N382" i="3"/>
  <c r="N381" i="3"/>
  <c r="N380" i="3"/>
  <c r="N379" i="3"/>
  <c r="N378" i="3"/>
  <c r="N377" i="3"/>
  <c r="N376" i="3"/>
  <c r="N375" i="3"/>
  <c r="N374" i="3"/>
  <c r="N373" i="3"/>
  <c r="N372" i="3"/>
  <c r="N371" i="3"/>
  <c r="N370" i="3"/>
  <c r="N369" i="3"/>
  <c r="N368" i="3"/>
  <c r="N367" i="3"/>
  <c r="N366" i="3"/>
  <c r="N365" i="3"/>
  <c r="N364" i="3"/>
  <c r="N363" i="3"/>
  <c r="N362" i="3"/>
  <c r="N361" i="3"/>
  <c r="N360" i="3"/>
  <c r="N359" i="3"/>
  <c r="N358" i="3"/>
  <c r="N357" i="3"/>
  <c r="N356" i="3"/>
  <c r="N355" i="3"/>
  <c r="N354" i="3"/>
  <c r="N353" i="3"/>
  <c r="N352" i="3"/>
  <c r="N351" i="3"/>
  <c r="N350" i="3"/>
  <c r="N349" i="3"/>
  <c r="N348" i="3"/>
  <c r="N347" i="3"/>
  <c r="N346" i="3"/>
  <c r="N345" i="3"/>
  <c r="N344" i="3"/>
  <c r="N343" i="3"/>
  <c r="N342" i="3"/>
  <c r="N317" i="3"/>
  <c r="N276" i="3"/>
  <c r="N275" i="3"/>
  <c r="N274" i="3"/>
  <c r="N273" i="3"/>
  <c r="N272" i="3"/>
  <c r="N271" i="3"/>
  <c r="N270" i="3"/>
  <c r="N269" i="3"/>
  <c r="N268" i="3"/>
  <c r="N267" i="3"/>
  <c r="N266" i="3"/>
  <c r="N265" i="3"/>
  <c r="N264" i="3"/>
  <c r="N263" i="3"/>
  <c r="N262" i="3"/>
  <c r="N261" i="3"/>
  <c r="N260" i="3"/>
  <c r="N259" i="3"/>
  <c r="N258" i="3"/>
  <c r="N257" i="3"/>
  <c r="N256" i="3"/>
  <c r="N255" i="3"/>
  <c r="N254" i="3"/>
  <c r="N253" i="3"/>
  <c r="N252" i="3"/>
  <c r="N251" i="3"/>
  <c r="N250" i="3"/>
  <c r="N249" i="3"/>
  <c r="N248" i="3"/>
  <c r="N247" i="3"/>
  <c r="N246" i="3"/>
  <c r="N245" i="3"/>
  <c r="N244" i="3"/>
  <c r="N243" i="3"/>
  <c r="N242" i="3"/>
  <c r="N241" i="3"/>
  <c r="N240" i="3"/>
  <c r="N239" i="3"/>
  <c r="N238" i="3"/>
  <c r="N237" i="3"/>
  <c r="N236" i="3"/>
  <c r="N235" i="3"/>
  <c r="N234" i="3"/>
  <c r="N233" i="3"/>
  <c r="N232" i="3"/>
  <c r="N231" i="3"/>
  <c r="N230" i="3"/>
  <c r="N229" i="3"/>
  <c r="N228" i="3"/>
  <c r="N227" i="3"/>
  <c r="N226" i="3"/>
  <c r="N225" i="3"/>
  <c r="N224" i="3"/>
  <c r="N223" i="3"/>
  <c r="N222" i="3"/>
  <c r="N221" i="3"/>
  <c r="N220" i="3"/>
  <c r="N219" i="3"/>
  <c r="N218" i="3"/>
  <c r="N217" i="3"/>
  <c r="N216" i="3"/>
  <c r="N215" i="3"/>
  <c r="N214" i="3"/>
  <c r="N213" i="3"/>
  <c r="N212" i="3"/>
  <c r="N211" i="3"/>
  <c r="N210" i="3"/>
  <c r="N209" i="3"/>
  <c r="N208" i="3"/>
  <c r="N207" i="3"/>
  <c r="N206" i="3"/>
  <c r="N205" i="3"/>
  <c r="N204" i="3"/>
  <c r="N203" i="3"/>
  <c r="N202" i="3"/>
  <c r="N201" i="3"/>
  <c r="N200" i="3"/>
  <c r="N199" i="3"/>
  <c r="N198" i="3"/>
  <c r="N197" i="3"/>
  <c r="N196" i="3"/>
  <c r="N195" i="3"/>
  <c r="N194" i="3"/>
  <c r="N193" i="3"/>
  <c r="N192" i="3"/>
  <c r="N191" i="3"/>
  <c r="N190" i="3"/>
  <c r="N189" i="3"/>
  <c r="N188" i="3"/>
  <c r="N187" i="3"/>
  <c r="N186" i="3"/>
  <c r="N185" i="3"/>
  <c r="N184" i="3"/>
  <c r="N183" i="3"/>
  <c r="N182" i="3"/>
  <c r="N181" i="3"/>
  <c r="N180" i="3"/>
  <c r="N179" i="3"/>
  <c r="N178" i="3"/>
  <c r="N177" i="3"/>
  <c r="N176" i="3"/>
  <c r="N175" i="3"/>
  <c r="N174" i="3"/>
  <c r="N173" i="3"/>
  <c r="N172" i="3"/>
  <c r="N171" i="3"/>
  <c r="N170" i="3"/>
  <c r="N169" i="3"/>
  <c r="N168" i="3"/>
  <c r="N167" i="3"/>
  <c r="N166" i="3"/>
  <c r="N165" i="3"/>
  <c r="N164" i="3"/>
  <c r="N163" i="3"/>
  <c r="N162" i="3"/>
  <c r="N161" i="3"/>
  <c r="N160" i="3"/>
  <c r="N159" i="3"/>
  <c r="N158" i="3"/>
  <c r="N157" i="3"/>
  <c r="N156" i="3"/>
  <c r="N148" i="3"/>
  <c r="N147" i="3"/>
  <c r="N146" i="3"/>
  <c r="N145" i="3"/>
  <c r="N144" i="3"/>
  <c r="N143" i="3"/>
  <c r="N142" i="3"/>
  <c r="N141" i="3"/>
  <c r="N140" i="3"/>
  <c r="N139" i="3"/>
  <c r="N138" i="3"/>
  <c r="N137" i="3"/>
  <c r="N136" i="3"/>
  <c r="N135" i="3"/>
  <c r="N134" i="3"/>
  <c r="N133" i="3"/>
  <c r="N132" i="3"/>
  <c r="N131" i="3"/>
  <c r="N130" i="3"/>
  <c r="N129" i="3"/>
  <c r="N128" i="3"/>
  <c r="N127" i="3"/>
  <c r="N126" i="3"/>
  <c r="N125" i="3"/>
  <c r="N124" i="3"/>
  <c r="N123" i="3"/>
  <c r="N122" i="3"/>
  <c r="N121" i="3"/>
  <c r="N120" i="3"/>
  <c r="N119" i="3"/>
  <c r="N118" i="3"/>
  <c r="N117" i="3"/>
  <c r="N116" i="3"/>
  <c r="N100" i="3"/>
  <c r="N99" i="3"/>
  <c r="N98" i="3"/>
  <c r="N97" i="3"/>
  <c r="N96" i="3"/>
  <c r="N94" i="3"/>
  <c r="N93" i="3"/>
  <c r="N92" i="3"/>
  <c r="N91" i="3"/>
  <c r="N90" i="3"/>
  <c r="N88" i="3"/>
  <c r="N86" i="3"/>
  <c r="N81" i="3"/>
  <c r="N80" i="3"/>
  <c r="N79" i="3"/>
  <c r="N78" i="3"/>
  <c r="N77" i="3"/>
  <c r="N76" i="3"/>
  <c r="N75" i="3"/>
  <c r="N74" i="3"/>
  <c r="N73" i="3"/>
  <c r="N72" i="3"/>
  <c r="N71" i="3"/>
  <c r="N70" i="3"/>
  <c r="N69" i="3"/>
  <c r="N68" i="3"/>
  <c r="N67" i="3"/>
  <c r="N66" i="3"/>
  <c r="N65" i="3"/>
  <c r="N64" i="3"/>
  <c r="N63" i="3"/>
  <c r="N62" i="3"/>
  <c r="N61" i="3"/>
  <c r="N60" i="3"/>
  <c r="N59" i="3"/>
  <c r="N58" i="3"/>
  <c r="N57" i="3"/>
  <c r="N56" i="3"/>
  <c r="N55" i="3"/>
  <c r="N54" i="3"/>
  <c r="N53" i="3"/>
  <c r="N52" i="3"/>
  <c r="N51" i="3"/>
  <c r="N50" i="3"/>
  <c r="N49" i="3"/>
  <c r="N48" i="3"/>
  <c r="N47" i="3"/>
  <c r="N46" i="3"/>
  <c r="N45" i="3"/>
  <c r="N44" i="3"/>
  <c r="N43" i="3"/>
  <c r="N42" i="3"/>
  <c r="N41" i="3"/>
  <c r="N40" i="3"/>
  <c r="N39" i="3"/>
  <c r="N38" i="3"/>
  <c r="N37" i="3"/>
  <c r="N36" i="3"/>
  <c r="N35" i="3"/>
  <c r="N34" i="3"/>
  <c r="N33" i="3"/>
  <c r="N32" i="3"/>
  <c r="N31" i="3"/>
  <c r="N30" i="3"/>
  <c r="N29" i="3"/>
  <c r="N14" i="3"/>
  <c r="N13" i="3"/>
  <c r="N12" i="3"/>
  <c r="N11" i="3"/>
  <c r="N10" i="3"/>
  <c r="N9" i="3"/>
  <c r="N8" i="3"/>
  <c r="N7" i="3"/>
  <c r="N6" i="3"/>
  <c r="N5" i="3"/>
  <c r="N4" i="3"/>
  <c r="N3" i="3"/>
  <c r="N2" i="3"/>
</calcChain>
</file>

<file path=xl/sharedStrings.xml><?xml version="1.0" encoding="utf-8"?>
<sst xmlns="http://schemas.openxmlformats.org/spreadsheetml/2006/main" count="11798" uniqueCount="2065">
  <si>
    <t>Essential Data Flag</t>
  </si>
  <si>
    <t>Name KPI</t>
  </si>
  <si>
    <t>[Business Term] is part of [Data Domain] &gt; Name</t>
  </si>
  <si>
    <t>Status</t>
  </si>
  <si>
    <t>KPI Type</t>
  </si>
  <si>
    <t>[Business Term] is part of [Personal Data Category] &gt; Name</t>
  </si>
  <si>
    <t>Priorità</t>
  </si>
  <si>
    <t>[KPI] KPI Child is derivated from [KPI] &gt; Name</t>
  </si>
  <si>
    <t>[KPI] KPI is Parent of [KPI] &gt; Name</t>
  </si>
  <si>
    <t>[KPI] Parent category [KPI Category] &gt; Name</t>
  </si>
  <si>
    <t>Processo</t>
  </si>
  <si>
    <t>[KPI] has [Security Category] &gt; Name</t>
  </si>
  <si>
    <t>Description Originale</t>
  </si>
  <si>
    <t>Description</t>
  </si>
  <si>
    <t>Roles &gt; Data Controller &gt; User Name</t>
  </si>
  <si>
    <t>Roles &gt; Data Controller &gt; First Name</t>
  </si>
  <si>
    <t>Roles &gt; Data Controller &gt; Last Name</t>
  </si>
  <si>
    <t>Roles &gt; Data Steward_R &gt; User Name</t>
  </si>
  <si>
    <t>Roles &gt; Data Steward_R &gt; First Name</t>
  </si>
  <si>
    <t>Roles &gt; Data Steward_R &gt; Last Name</t>
  </si>
  <si>
    <t>CreatedOn</t>
  </si>
  <si>
    <t>LastModifiedOn</t>
  </si>
  <si>
    <t>ArticulationScore</t>
  </si>
  <si>
    <t>LastModifiedBy_UserName</t>
  </si>
  <si>
    <t>LastModifiedBy_FirstName</t>
  </si>
  <si>
    <t>LastModifiedBy_LastName</t>
  </si>
  <si>
    <t>LastModifiedBy_Id</t>
  </si>
  <si>
    <t>Effective Start Date</t>
  </si>
  <si>
    <t>Identifier</t>
  </si>
  <si>
    <t>Important Data (Local)</t>
  </si>
  <si>
    <t>Actual fraud amount (Accounting date)</t>
  </si>
  <si>
    <t>In Progress</t>
  </si>
  <si>
    <t>Amount</t>
  </si>
  <si>
    <t>17 - Non-personal data</t>
  </si>
  <si>
    <t>TBD</t>
  </si>
  <si>
    <t>KPI RAF [Ctg]</t>
  </si>
  <si>
    <t>&lt;p&gt;&lt;strong&gt;NON COMPLIANCE RISK&lt;/strong&gt;&lt;/p&gt;
&lt;p&gt;It : La metrica misura l’ammontare delle perdite operative contabilizzate nel trimestre derivanti da qualsiasi tipologia di frode (interna ed esterna, “pure” e “di frontiera”).&lt;/p&gt;
&lt;p&gt;En : The metric measures the amount of operating losses accounted for in the quarter resulting from any type of fraud (internal and external, “pure” and “border”).&lt;/p&gt;</t>
  </si>
  <si>
    <t>2024-06-06</t>
  </si>
  <si>
    <t>2025-02-14</t>
  </si>
  <si>
    <t>LBORRONI</t>
  </si>
  <si>
    <t>Laura</t>
  </si>
  <si>
    <t>BORRONI</t>
  </si>
  <si>
    <t>1778b8cd-c814-4087-bcad-4c73f34b5370</t>
  </si>
  <si>
    <t>Actual fraud amount Ratio (Accounting date)</t>
  </si>
  <si>
    <t>Percentage</t>
  </si>
  <si>
    <t>&lt;p&gt;&lt;strong&gt;NON COMPLIANCE RISK&lt;/strong&gt;&lt;/p&gt;
&lt;p&gt;It : La metrica misura l’incidenza percentuale delle perdite operative contabilizzate nel trimestre derivanti da qualsiasi tipologia di frode (interna ed esterna, “pure” e “di frontiera”) rispetto al margine di intermediazione (Arpege) dello stresso trimestre&lt;/p&gt;
&lt;p&gt;En : The metric measures the percentage incidence of operating losses recognized in the quarter deriving from any type of fraud (internal and external, "pure" and "frontier") compared to the intermediation margin (Arpege) of the same quarter &lt;/p&gt;</t>
  </si>
  <si>
    <t>2023-09-01</t>
  </si>
  <si>
    <t>2024-12-09</t>
  </si>
  <si>
    <t>Alert Threshold on leverage (material)</t>
  </si>
  <si>
    <t>KPI Risk Strategy [Ctg]</t>
  </si>
  <si>
    <t>Internal</t>
  </si>
  <si>
    <t>&lt;p class="editor-paragraph" dir="ltr"&gt;&lt;b&gt;&lt;strong class="editor-text-bold" style="white-space: pre-wrap;"&gt;CORPORATE CREDIT RISK&lt;/strong&gt;&lt;/b&gt;&lt;/p&gt;&lt;p class="editor-paragraph" dir="ltr"&gt;&lt;span style="white-space: pre-wrap;"&gt;It : La metrica monitora il livello di esposizione creditizia complessiva lorda Corporate osservata a fine periodo (On Balance) delle Controparti a “Leva Finanziaria” &lt;/span&gt;&lt;/p&gt;&lt;p class="editor-paragraph" dir="ltr"&gt;&lt;span style="white-space: pre-wrap;"&gt;En : The metric monitors the level of overall gross Corporate credit exposure observed at the end of the period (On Balance) of the “Leveraged” Counterparties&lt;/span&gt;&lt;/p&gt;</t>
  </si>
  <si>
    <t>2025-02-19</t>
  </si>
  <si>
    <t>2025-02-20</t>
  </si>
  <si>
    <t>Back to regular Ratio</t>
  </si>
  <si>
    <t>Esposizioni ritornate sane</t>
  </si>
  <si>
    <t>&lt;p&gt;&lt;strong&gt;OPERATIONAL CREDIT RISK&lt;/strong&gt;&lt;/p&gt;
&lt;p&gt;It : La metrica monitora il totale delle esposizioni (in %) che ritornano sane nel mese sul totale delle esposizioni a recupero (comprese le esposizioni passate a recupero nel mese).&lt;/p&gt;
&lt;p&gt;En : Ratio between the total of exposures that have returned to healthy in the reference month and the total of exposures to recovery (including exposures that have passed to recovery in the month)&lt;/p&gt;</t>
  </si>
  <si>
    <t>2022-06-01</t>
  </si>
  <si>
    <t>Esposizioni a recupero</t>
  </si>
  <si>
    <t>Bank exposure (by Country)</t>
  </si>
  <si>
    <t>&lt;p&gt;&lt;strong&gt;COUNTRY RISK&lt;/strong&gt;&lt;/p&gt;
&lt;p&gt;It : La metrica monitora l’esposizione totale nei confronti delle banche&lt;/p&gt;
&lt;p&gt;En : The metric monitors the total exposure to banks&lt;/p&gt;</t>
  </si>
  <si>
    <t>Basis Risk - Gap</t>
  </si>
  <si>
    <t>&lt;p&gt;&lt;strong&gt;FINANCIAL RISK&lt;/strong&gt;&lt;/p&gt;
&lt;p&gt;It : Esposizione al rischio verso ciascun indice di riferimento diverso dall'Euribor 3M, data dalle differenze tra gli importi delle passività e delle attività tasso variabile (inclusi i derivati di copertura) indicizzati allo stesso tasso di riferimento, entro determinati intervalli temporali.&lt;/p&gt;
&lt;p&gt;En : Risk exposure to each reference index other than Euribor 3M, given by the differences between the amounts of liabilities and assets with variable rate (including hedging derivatives) indexed to the same reference rate, within certain time intervals.&lt;/p&gt;</t>
  </si>
  <si>
    <t>Basis Risk - Sensitivity NPV</t>
  </si>
  <si>
    <t>&lt;p&gt;&lt;strong&gt;FINANCIAL RISK&lt;/strong&gt;&lt;/p&gt;
&lt;p&gt;It : Sensibilità del Valore Attuale Netto in seguito a variazioni di forma delle curve dei tassi di interesse dovute a variazioni degli indici sottostanti&lt;/p&gt;
&lt;p&gt;En : Sensitivity of the Net Present Value following changes in the shape of the interest rate curves due to changes in the underlying indices&lt;/p&gt;</t>
  </si>
  <si>
    <t>BCP - Unsatisfactory Continuity Solutions (failed tests or no solution implemented)</t>
  </si>
  <si>
    <t>Number of essential processes tested failed</t>
  </si>
  <si>
    <t>&lt;p&gt;&lt;strong&gt;SECURITY AND BUSINESS CONTINUITY RIS&lt;/strong&gt;&lt;/p&gt;
&lt;p&gt;It : La metrica calcola il numero di processi business essenziali che non hanno un piano di ripristino o continuità oppure il cui piano di ripristino sia stato testato con esito negativo negli ultimi 24 mesi rispetto al numero totale dei processi business essenziali da almeno 24 mesi&lt;/p&gt;
&lt;p&gt;En : The metric calculates the number of essential business processes that do not have a recovery or continuity plan or whose recovery plan has been tested unsuccessfully in the last 24 months out of the total number of essential business processes for at least 24 months &lt;/p&gt;</t>
  </si>
  <si>
    <t>Number of essential business processes without continuity solution</t>
  </si>
  <si>
    <t>Total number of essential business processes</t>
  </si>
  <si>
    <t>BCP - User Contingency Test</t>
  </si>
  <si>
    <t>&lt;p&gt;&lt;strong&gt;SECURITY AND BUSINESS CONTINUITY RISK&lt;/strong&gt;&lt;/p&gt;
&lt;p&gt;It : La metrica calcola il numero di processi business essenziali, che hanno avuto uno USER CONTINGENCY TEST negli ultimi 24 mesi rispetto al numero totale dei processi business essenziali che sono critici  da almeno 24 mesi &lt;/p&gt;
&lt;p&gt;En : The metric calculates the number of essential business processes that have had a USER CONTINGENCY TEST in the last 24 months compared to the total number of essential business processes that have been critical for at least 24 months&lt;/p&gt;</t>
  </si>
  <si>
    <t>Number of essential  business processes tested (UCP)</t>
  </si>
  <si>
    <t>Essential Data - CASA</t>
  </si>
  <si>
    <t>C1 3.1 - Country of residence of registered office</t>
  </si>
  <si>
    <t>DD.04 - Risk Management</t>
  </si>
  <si>
    <t>Approved</t>
  </si>
  <si>
    <t>KPI CRRv4 [Ctg]</t>
  </si>
  <si>
    <t>IFRS9</t>
  </si>
  <si>
    <t>It: Codice del paese di registrazione della controparte esterna&lt;br/&gt;En: Code of country of registration of external counterparty</t>
  </si>
  <si>
    <t>Codice del paese di registrazione della controparte esterna</t>
  </si>
  <si>
    <t>MMARENGHI</t>
  </si>
  <si>
    <t>Massimo</t>
  </si>
  <si>
    <t>MARENGHI</t>
  </si>
  <si>
    <t>EZANINI</t>
  </si>
  <si>
    <t>Ennio</t>
  </si>
  <si>
    <t>ZANINI</t>
  </si>
  <si>
    <t>2024-02-20</t>
  </si>
  <si>
    <t>2024-04-24</t>
  </si>
  <si>
    <t>1b588191-79df-48b3-acc9-c5ab89c191aa</t>
  </si>
  <si>
    <t>2024-04-16</t>
  </si>
  <si>
    <t>C1 3.2 - Country of tax residence</t>
  </si>
  <si>
    <t>It: Codice del Paese in cui è stabilito il terzo. Corrisponde al paese di residenza fiscale&lt;br/&gt;En: Code of country in which the third party is established. Corresponds to country of tax residence</t>
  </si>
  <si>
    <t>Codice del Paese in cui è stabilito il terzo. Corrisponde al paese di residenza fiscale</t>
  </si>
  <si>
    <t>C1 3.3 - Country of control</t>
  </si>
  <si>
    <t>It: Codice del paese della società madre o dell'azionista principale. Tutte le controparti esterne all'interno di un singolo gruppo condividono lo stesso paese di controllo&lt;br/&gt;En: Code of country of parent company or main shareholder. All external counterparties within a single group share the same country of control</t>
  </si>
  <si>
    <t>Codice del paese della società madre o dell'azionista principale. Tutte le controparti esterne all'interno di un singolo gruppo condividono lo stesso paese di controllo</t>
  </si>
  <si>
    <t>C1 4.15 - Date of placement in default</t>
  </si>
  <si>
    <t>It: È la data in cui la Controparte Esterna viene dichiarata inadempiente all'interno del Gruppo Crédit Agricole. Vale a dire, la data in cui un rating di rendimento è stato modificato in un rating F o Z&lt;br/&gt;En: It is the date on which the External Counterparty is declared to be in default within the Crédit Agricole Group. Namely, the date a performing rating was changed to an F or Z rating</t>
  </si>
  <si>
    <t>È la data in cui la Controparte Esterna viene dichiarata inadempiente all'interno del Gruppo Crédit Agricole. Vale a dire, la data in cui un rating di rendimento è stato modificato in un rating F o Z</t>
  </si>
  <si>
    <t>C1 4.1 - Assigned final rating</t>
  </si>
  <si>
    <t>It: Il rating assegnato è il rating attribuito alla controparte esterna al termine del processo di calcolo, e approvato dall'organo decisionale dell'entità RUN&lt;br/&gt;En: The assigned rating is the rating given to the external counterparty at the end of the calculation process, and approved by the decision-making body of the RUN entity</t>
  </si>
  <si>
    <t>Il rating assegnato è il rating attribuito alla controparte esterna al termine del processo di calcolo, e approvato dall'organo decisionale dell'entità RUN</t>
  </si>
  <si>
    <t>C1 4.2 - Date rating reviewed</t>
  </si>
  <si>
    <t>It: La data del rating è la data della revisione più recente, ovvero la data in cui il rating è stato rivisto, anche se non è cambiato&lt;br/&gt;En: The date of the rating is the date of the most recent revision, namely the date on which the rating was reviewed, even if it hasn't changed</t>
  </si>
  <si>
    <t>La data del rating è la data della revisione più recente, ovvero la data in cui il rating è stato rivisto, anche se non è cambiato</t>
  </si>
  <si>
    <t>C1 4.3 - Rating methodology</t>
  </si>
  <si>
    <t>It: Tipologia di metodologia di rating utilizzata per ottenere il rating attribuito&lt;br/&gt;En: Type of methodology of the rating used to obtain the rating given</t>
  </si>
  <si>
    <t>Tipologia di metodologia di rating utilizzata per ottenere il rating attribuito</t>
  </si>
  <si>
    <t>C1 4.6 - Category of counterparty</t>
  </si>
  <si>
    <t>Codice della categoria di controparte esterna, che rappresenta una segmentazione di basso livello delle controparti esterne utilizzata per determinare le categorie di esposizione regolamentare. Il codice inserito deve rappresentare il livello di reporting più basso possibile. Questa categoria deriva dal codice interno dell'attività aziendale, dai ricavi consolidati di riferimento (c) e dalla classificazione legale. Il valore calcolato può essere modificato sulla base del parere di esperti. Dati di proprietà del «RUN». Valori da LC.0009, informazioni FIRCOM </t>
  </si>
  <si>
    <t>2024-03-18</t>
  </si>
  <si>
    <t>C1 4.7 - Basel External Counterparty Portfolio</t>
  </si>
  <si>
    <t>DD.03 - Finance &amp; Tresury</t>
  </si>
  <si>
    <t>&lt;p&gt;It: Identifica il portafoglio di Basilea della controparte esterna Segmentazione più altamente aggregata rispetto alla categoria della controparte, consentendo di collegare le categorie di esposizione regolamentare e le classi di attività a fini di ponderazione Derivato dalla categoria della controparte, ma può essere forzato. Dati di proprietà del «RUN». Valori da LC.0010, informazioni FIRCOM &lt;/p&gt;
&lt;p&gt;En: Identifies the Basel portfolio of the External Counterparty More highly aggregated segmentation than the counterparty category, making it possible to link regulatory exposure categories and asset classes for weighting purposes&lt;br/&gt;Derived from the counterparty category, but can be forced. Data owned by the «RUN».&lt;br/&gt;Values from LC.0010, FIRCOM information&lt;/p&gt;
&lt;p&gt; &lt;/p&gt;</t>
  </si>
  <si>
    <t>Identifica il portafoglio di Basilea della controparte esterna Segmentazione più altamente aggregata rispetto alla categoria della controparte, consentendo di collegare le categorie di esposizione regolamentare e le classi di attività a fini di ponderazione Derivato dalla categoria della controparte, ma può essere forzato. Dati di proprietà del «RUN». Valori da LC.0010, informazioni FIRCOM </t>
  </si>
  <si>
    <t>GSOPRANZI</t>
  </si>
  <si>
    <t>Giorgio</t>
  </si>
  <si>
    <t>SOPRANZI</t>
  </si>
  <si>
    <t>STEDESCHI</t>
  </si>
  <si>
    <t>Sergio</t>
  </si>
  <si>
    <t>TEDESCHI</t>
  </si>
  <si>
    <t>C1 4.8 - Business sector</t>
  </si>
  <si>
    <t>It: Codice del settore economico della controparte esterna, che costituisce la sua attività principale indipendentemente dalla sua nazionalità&lt;br/&gt;En: Business sector code of the external counterparty, constituting its main business activity regardless of its nationality</t>
  </si>
  <si>
    <t>Codice del settore economico della controparte esterna, che costituisce la sua attività principale indipendentemente dalla sua nazionalità</t>
  </si>
  <si>
    <t>C1 5.2 - Revenue used for rating</t>
  </si>
  <si>
    <t>&lt;p&gt;It: I ricavi utilizzati per il rating definiscono il tipo di rapporto tra una controparte e un segnalante (cliente, garante, potenziale cliente….). Laddove l'entità abbia una serie di rapporti diversi con una controparte (ad esempio, la controparte è sia un cliente dell'entità che un emittente di titoli detenuti dall'entità) dichiara la relazione di livello più elevato Valori da LC.0018. Informazioni FIRCOM &lt;/p&gt;
&lt;p&gt;&lt;br/&gt;En: &lt;span&gt;Revenue used for rating defines the type of relationship between a counterparty and a reporter (client, guarantor, prospect….). Where the entity has a number of different relationships with a counterparty (for example, the counterparty is both a client of the entity and the issuer of securities held by the entity) it declares the highest level relationship&lt;br/&gt;Values from LC.0018. FIRCOM information&lt;/span&gt; &lt;/p&gt;</t>
  </si>
  <si>
    <t>I ricavi utilizzati per il rating definiscono il tipo di rapporto tra una controparte e un segnalante (cliente, garante, potenziale cliente….). Laddove l'entità abbia una serie di rapporti diversi con una controparte (ad esempio, la controparte è sia un cliente dell'entità che un emittente di titoli detenuti dall'entità) dichiara la relazione di livello più elevato Valori da LC.0018. Informazioni FIRCOM</t>
  </si>
  <si>
    <t>2024-04-30</t>
  </si>
  <si>
    <t>AMOTTIRONI</t>
  </si>
  <si>
    <t>Alessandro</t>
  </si>
  <si>
    <t>MOTTIRONI</t>
  </si>
  <si>
    <t>412238ef-eb2e-4fb9-8f8b-c6d8402c520c</t>
  </si>
  <si>
    <t>C2 4.44 - Economic agent</t>
  </si>
  <si>
    <t>RRF Counterparty</t>
  </si>
  <si>
    <t>Codice identificativo di riferimento della nazione</t>
  </si>
  <si>
    <t>2025-06-09</t>
  </si>
  <si>
    <t>C3 4.44 - Economic agent</t>
  </si>
  <si>
    <t>&lt;p class="editor-paragraph" dir="ltr"&gt;&lt;span style="white-space: pre-wrap;"&gt;It: Codice identificativo di riferimento della nazione&lt;/span&gt;&lt;/p&gt;&lt;p class="editor-paragraph" dir="ltr"&gt;&lt;span style="white-space: pre-wrap;"&gt;En: Code from the national ID reference&lt;/span&gt;&lt;/p&gt;</t>
  </si>
  <si>
    <t>2025-04-10</t>
  </si>
  <si>
    <t>C5 2.4 - Business sector</t>
  </si>
  <si>
    <t>Essential Data - Local</t>
  </si>
  <si>
    <t>Capitale primario di Classe 1</t>
  </si>
  <si>
    <t>Fondi Propri</t>
  </si>
  <si>
    <t>KPI Finance [Ctg]</t>
  </si>
  <si>
    <t>Rappresenta l’insieme delle componenti patrimoniali di qualità più pregiata</t>
  </si>
  <si>
    <t>ALANNI</t>
  </si>
  <si>
    <t>Andrea</t>
  </si>
  <si>
    <t>LANNI</t>
  </si>
  <si>
    <t>2022-04-20</t>
  </si>
  <si>
    <t>2025-06-10</t>
  </si>
  <si>
    <t>d561f68d-189c-486c-bc48-61fb1a348be8</t>
  </si>
  <si>
    <t>Simplified Leverage Ratio</t>
  </si>
  <si>
    <t>CET 1 Ratio</t>
  </si>
  <si>
    <t>Capitale primario di Classe 2</t>
  </si>
  <si>
    <t>Rappresentato dai prestiti subordinati</t>
  </si>
  <si>
    <t>2025-05-12</t>
  </si>
  <si>
    <t>Carbon footprint (tCO2e)</t>
  </si>
  <si>
    <t>&lt;p class="editor-paragraph" dir="ltr"&gt;&lt;b&gt;&lt;strong class="editor-text-bold" style="white-space: pre-wrap;"&gt;CLIMATE RISK&lt;/strong&gt;&lt;/b&gt;&lt;/p&gt;&lt;p class="editor-paragraph" dir="ltr"&gt;&lt;span style="white-space: pre-wrap;"&gt;It : La metrica misura la carbon footprint (letteralmente, “impronta di carbonio”) di Agos, stimando le emissioni dirette/indirette in atmosfera di gas serra (GHG), espresse in tonnellate di CO2 equivalente, emesse da Agos nell’esercizio della propria attività (edifici, flotta aziendale, fornitori e così via).&lt;/span&gt;&lt;/p&gt;&lt;p class="editor-paragraph" dir="ltr"&gt;&lt;span style="white-space: pre-wrap;"&gt;En : The metric measures the carbon footprint of Agos, estimating the direct/indirect emissions of greenhouse gases (GHG) into the atmosphere, expressed in tons of CO2 equivalent, emitted by Agos in the exercise of its business (buildings, company fleet, suppliers and so on).&lt;/span&gt;&lt;/p&gt;</t>
  </si>
  <si>
    <t>Total RWA - Risk Weighted Asset</t>
  </si>
  <si>
    <t>&lt;p&gt;&lt;strong&gt;SOLVENCY&lt;/strong&gt;&lt;/p&gt;
&lt;p&gt;It : La metrica misura la solidità patrimoniale della società in conformità con quanto previsto dall’Autorità di Vigilanza, in continuo confronto con gli obiettivi strategici &lt;br/&gt;En : The metric measures the company's financial strength in accordance with the provisions of the Supervisory Authority, in continuous comparison with the strategic objectives&lt;/p&gt;</t>
  </si>
  <si>
    <t>2024-06-19</t>
  </si>
  <si>
    <t>Claims handling (CP04_203)</t>
  </si>
  <si>
    <t>N° of compliant complaints</t>
  </si>
  <si>
    <t>&lt;p&gt;&lt;strong&gt;NOT COMPLIANCE RISK&lt;/strong&gt;&lt;/p&gt;
&lt;p&gt;It : La metrica monitora il livello di conformità del processo di risposta ai reclami presentati dai Clienti, rispetto alla normativa di riferimento. &lt;/p&gt;
&lt;p&gt;En : The metric monitors the level of compliance of the process of responding to complaints presented by customers, with respect to the relevant legislation. &lt;/p&gt;</t>
  </si>
  <si>
    <t>N° of compliant handled</t>
  </si>
  <si>
    <t>Collection Costs</t>
  </si>
  <si>
    <t>Number</t>
  </si>
  <si>
    <t>Cost of Risk contabile (CoR P&amp;L)</t>
  </si>
  <si>
    <t>&lt;p class="editor-paragraph" dir="ltr"&gt;&lt;span style="white-space: pre-wrap;"&gt;It: I costi di riscossione rappresentano l'importo pagato ai creditori esterni incaricati dell'attività di riscossione. &lt;/span&gt;&lt;/p&gt;&lt;p class="editor-paragraph" dir="ltr"&gt;&lt;span style="white-space: pre-wrap;"&gt;Sono direttamente correlati all'andamento del recupero e direttamente correlati a ciascun credito (non si tratta di un costo generico, ma di un costo specifico contabilizzato per ciascun credito). &lt;/span&gt;&lt;/p&gt;&lt;p class="editor-paragraph" dir="ltr"&gt;&lt;span style="white-space: pre-wrap;"&gt;Questi costi sono inclusi nel costo totale del rischio perché ne influenzano direttamente l'importo: un'elevata performance nel recupero comporta maggiori costi di recupero, ma anche minori crediti deteriorati e quindi un minor costo del rischio.&lt;/span&gt;&lt;/p&gt;&lt;p class="editor-paragraph" dir="ltr"&gt;&lt;span style="white-space: pre-wrap;"&gt;Infine, poiché i costi di riscossione sono coperti dagli accantonamenti nel Costo del Rischio, l'impegno di spesa e il recupero (e quindi lo storno dell'accantonamento) devono essere contabilizzati nello stesso Costo del Rischio.&lt;/span&gt;&lt;/p&gt;&lt;p class="editor-paragraph"&gt;&lt;br/&gt;&lt;/p&gt;&lt;p class="editor-paragraph" dir="ltr"&gt;&lt;span style="white-space: pre-wrap;"&gt;En: Collection costs represent amount paid to external collectors who are in charge of collection acitivity. &lt;/span&gt;&lt;/p&gt;&lt;p class="editor-paragraph" dir="ltr"&gt;&lt;span style="white-space: pre-wrap;"&gt;They are directly link to performance of collection and directly connected to each loan (is not a generic cost but a specific cost accounted loan by loan). &lt;/span&gt;&lt;/p&gt;&lt;p class="editor-paragraph" dir="ltr"&gt;&lt;span style="white-space: pre-wrap;"&gt;These costs are included in total cost of risk because directly affected its amount: a high performance in collection means higher collection costs but also lower impaired outstanding and so lower cost of risk.&lt;/span&gt;&lt;/p&gt;&lt;p class="editor-paragraph" dir="ltr"&gt;&lt;span style="white-space: pre-wrap;"&gt;At the end, as collection costs are covered by provisions in Cost of Risk, expense commitment and recovery (and therefore reverse of provision) must be accounted for the same Cost of Risk&lt;/span&gt;&lt;/p&gt;</t>
  </si>
  <si>
    <t>2025-07-02</t>
  </si>
  <si>
    <t>CoR Ratio on Average Performing</t>
  </si>
  <si>
    <t>Commercial exposure (Retail + Corporate) - Italy</t>
  </si>
  <si>
    <t>&lt;p&gt;&lt;strong&gt;COUNTRY RISK&lt;/strong&gt;&lt;/p&gt;
&lt;p&gt;It : La metrica monitora l’esposizione totale dei portafogli Retail + Corporate (solo per l’Italia nel caso di Agos).&lt;/p&gt;
&lt;p&gt;En : The metric monitors the total exposure of the Retail + Corporate portfolios (only for Italy in the case of Agos).&lt;/p&gt;</t>
  </si>
  <si>
    <t>Conduct risk</t>
  </si>
  <si>
    <t>&lt;p&gt; &lt;strong&gt;NON COMPLIANCE RISK&lt;/strong&gt;&lt;/p&gt;
&lt;p&gt;It : La metrica monitora il rischio dovuto alla condotta “inappropriata”, rispetto alla normativa e ai principi etici, da parte di uno o più dipendenti, nei loro rapporti con clienti, mercati finanziari, terzi (fornitori, partner commerciali, etc.) o altri dipendenti, con conseguenze finanziarie o non finanziarie dannose per l'immagine o l'affidabilità della Società&lt;/p&gt;
&lt;p&gt;&lt;br/&gt;En : The metric monitors the risk due to "inappropriate" conduct, with respect to legislation and ethical principles, by one or more employees, in their relationships with customers, financial markets, third parties (suppliers, business partners, etc.) or other employees , with financial or non-financial consequences harmful to the image or reliability of the Company &lt;/p&gt;</t>
  </si>
  <si>
    <t>Consolidated IR3</t>
  </si>
  <si>
    <t>&lt;p&gt;&lt;strong&gt;CREDIT RISK&lt;/strong&gt;&lt;/p&gt;
&lt;p&gt;It : La metrica monitora il volume totale dei finanziamenti con due o più rate scadute e non pagate alla fine del 3° mese successivo alla data di prima scadenza ed il il volume totale dei finanziamenti con data di prima scadenza nel medesimo mese (escluse le pratiche ritirate)&lt;/p&gt;
&lt;p&gt;En : Ratio between the total volume of loans with two or more expired and unpaid installments at the end of the 3rd month following the first due date and the total volume of loans with first due date in the same month (excluding withdrawn practices)&lt;/p&gt;</t>
  </si>
  <si>
    <t>CoR Model  (Cost of Risk Model )</t>
  </si>
  <si>
    <t>Fondo per pratica ( Stage 1 e 2)</t>
  </si>
  <si>
    <t>KPI Base [Ctg]</t>
  </si>
  <si>
    <t>&lt;h3 class="editor-heading-h3"&gt;&lt;b&gt;&lt;strong class="editor-text-bold" style="white-space: pre-wrap;"&gt;CoR Model o &lt;/strong&gt;&lt;/b&gt;&lt;b&gt;&lt;strong class="editor-text-bold" style="font-family: Tahoma , sans-serif;font-size: 11.0pt;white-space: pre-wrap;"&gt;Expected Credit Loss (ECL)&lt;/strong&gt;&lt;/b&gt;&lt;/h3&gt;&lt;p class="editor-paragraph" dir="ltr"&gt;&lt;span style="font-family: Tahoma , sans-serif;font-size: 11.0pt;white-space: pre-wrap;"&gt;It: La perdita attesa sul credito (Expected Credit Loss o ECL) viene calcolata utilizzando le esposizioni di bilancio e fuori bilancio, i parametri di &lt;/span&gt;&lt;a class="hyperlink" data-ids="38b577a5-e77f-4624-bbe9-ed6a2541ea14" href="#" matched-expression="PD"&gt;&lt;span style="font-family: Tahoma , sans-serif;font-size: 11.0pt;white-space: pre-wrap;"&gt;PD&lt;/span&gt;&lt;/a&gt;&lt;span style="font-family: Tahoma , sans-serif;font-size: 11.0pt;white-space: pre-wrap;"&gt;, &lt;/span&gt;&lt;a class="hyperlink" data-ids="44a95c8e-c75b-481b-8755-621e5120e3e4" href="#" matched-expression="LGD (Loss Given Default)"&gt;&lt;span style="font-family: Tahoma , sans-serif;font-size: 11.0pt;white-space: pre-wrap;"&gt;LGD (Loss Given Default)&lt;/span&gt;&lt;/a&gt;&lt;span style="font-family: Tahoma , sans-serif;font-size: 11.0pt;white-space: pre-wrap;"&gt; ed tasso di attualizzazione. In particolare, per lo Stage 1 l’ECL viene calcolata su un orizzonte di 12 mesi futuri, mentre per lo Stage 2 l’ECL viene calcolata per tutta la vita teorica attesa (lifetime). Per lo Stage 3, l’ECL viene calcolata sul totale dell’impiego utilizzando esclusivamente l’LGD in quanto la PD è uguale al 100%.&lt;/span&gt;&lt;/p&gt;&lt;p class="editor-paragraph" dir="ltr"&gt;&lt;span style="font-family: Tahoma , sans-serif;font-size: 11.0pt;white-space: pre-wrap;"&gt;A partire da aprile 2019,  per la classificazione in Stage 1 e 2 (Crediti Performing) e il relativo calcolo del fondo svalutazione (ECL), viene utilizzato un tool costruito su applicativo SAS dalla controllante CAPFM denominato “Outil Mutualisé de Provision” (cd.“OMP”) che viene alimentato con i dati di dettaglio a livello locale (informazioni sui singoli contratti e parametri di rischio).&lt;/span&gt;&lt;/p&gt;&lt;p class="editor-paragraph" dir="ltr"&gt;&lt;br/&gt;&lt;/p&gt;&lt;p class="editor-paragraph" dir="ltr"&gt;&lt;span style="white-space: pre-wrap;"&gt;En: The expected credit loss (Expected Credit Loss or ECL) is calculated using the balance sheet and off-balance sheet exposures, the PD, LGD (Loss Given Default) and discount rate parameters. In particular, for Stage 1 the ECL is calculated over a horizon of 12 future months, while for Stage 2 the ECL is calculated for the entire theoretical expected life (lifetime). For Stage 3, the ECL is calculated on the total loan using only the LGD as the PD is equal to 100%.&lt;/span&gt;&lt;/p&gt;&lt;p class="editor-paragraph" dir="ltr"&gt;&lt;span style="white-space: pre-wrap;"&gt;Starting from April 2019, for the classification in Stage 1 and 2 (Performing Credits) and the related calculation of the impairment provision (ECL), a tool built on a SAS application by the parent company CAPFM called “Outil Mutualisé de Provision” (cd.“OMP”) is used which is fed with detailed data at local level (information on individual contracts and risk parameters).&lt;/span&gt;&lt;/p&gt;</t>
  </si>
  <si>
    <t>2025-07-04</t>
  </si>
  <si>
    <t>Fondo pratiche Degraded  (Stage 3)</t>
  </si>
  <si>
    <t>Forbearance B1</t>
  </si>
  <si>
    <t>Fondo per Tresury</t>
  </si>
  <si>
    <t>Forbearance B2</t>
  </si>
  <si>
    <t>Write-off (CO -  RE)</t>
  </si>
  <si>
    <t>Forbearance B3</t>
  </si>
  <si>
    <t>Write-off (CQ)</t>
  </si>
  <si>
    <t>Forbearance Category C1</t>
  </si>
  <si>
    <t>NPL Ad-on cambiali (provvigioni verso ADR)</t>
  </si>
  <si>
    <t>Forbearance Category C2</t>
  </si>
  <si>
    <t>NPL Prezzo di Vendita</t>
  </si>
  <si>
    <t>Forbearance Category C3</t>
  </si>
  <si>
    <t>NPL Totale Impiego Ceduto</t>
  </si>
  <si>
    <t>Forbearance Stock</t>
  </si>
  <si>
    <t>Interessi in Bucket 3 (Stage 3)</t>
  </si>
  <si>
    <t>Forbearance Type 01 - Re-aging</t>
  </si>
  <si>
    <t>Forbearance Type 02 - Postponement</t>
  </si>
  <si>
    <t>Forbearance Type 03 - Rescheduling</t>
  </si>
  <si>
    <t>Forbearance Type 04 - Consolidation</t>
  </si>
  <si>
    <t>IFRS9 coverage rate of the forborne exposure</t>
  </si>
  <si>
    <t>SBL Cost of Risk Ratio</t>
  </si>
  <si>
    <t>Corporate Cost of Risk Ratio</t>
  </si>
  <si>
    <t>&lt;p class="editor-paragraph" dir="ltr"&gt;&lt;b&gt;&lt;strong class="editor-text-bold" style="white-space: pre-wrap;"&gt;CORPORATE CREDIT RISK&lt;/strong&gt;&lt;/b&gt;&lt;/p&gt;&lt;p class="editor-paragraph" dir="ltr"&gt;&lt;span style="white-space: pre-wrap;"&gt;It : La metrica monitora l'incidenza del Costo del Rischio Corporate (cd. Degraded) sull’esposizione creditizia complessiva lorda Corporate osservata a fine periodo (On Balance).&lt;/span&gt;&lt;/p&gt;&lt;p class="editor-paragraph" dir="ltr"&gt;&lt;span style="white-space: pre-wrap;"&gt;En : The metric monitors the impact of the Corporate Cost of Risk (so-called Degraded) on the overall gross Corporate credit exposure observed at the end of the period (On Balance).&lt;/span&gt;&lt;/p&gt;</t>
  </si>
  <si>
    <t>2025-02-18</t>
  </si>
  <si>
    <t>Impiego totale regular (EoP)</t>
  </si>
  <si>
    <t>&lt;p&gt;&lt;strong&gt;CREDIT RISK&lt;/strong&gt;&lt;/p&gt;
&lt;p&gt;It : La metrica monitora l’incidenza del Costo del Rischio P&amp;amp;L (c.d. “Reported”, ossia comprensivo di DTER, costi di collection e fondo altri rischi) sull’esposizione creditizia Performing media.&lt;/p&gt;
&lt;p&gt;Per esposizione creditizia si intende quella contabile lorda, solo On Balance, che include Rappel, Sword e conti non per pratica.&lt;/p&gt;
&lt;p&gt;&lt;br/&gt;En : The metric monitors the impact of the P&amp;amp;L Cost of Risk (so-called “Reported”, i.e. including DTER, collection costs and other risk fund) on the average Performing credit exposure.&lt;/p&gt;
&lt;p&gt;Credit exposure means the gross accounting exposure, On Balance only, which includes Rappel, Sword and non-practice accounts.&lt;/p&gt;</t>
  </si>
  <si>
    <t>Cost of Risk Ratio (YtD annualized on Gross Average Outstanding)</t>
  </si>
  <si>
    <t>Impiego totale impaired (EoP)</t>
  </si>
  <si>
    <t>Discount Time Effect Reversal (DTER)</t>
  </si>
  <si>
    <t>Other risks</t>
  </si>
  <si>
    <t>&lt;p class="editor-paragraph" dir="ltr"&gt;&lt;span style="white-space: pre-wrap;"&gt;It: Costo del Rischio Contabile&lt;/span&gt;&lt;/p&gt;&lt;p class="editor-paragraph" dir="ltr"&gt;&lt;span style="white-space: pre-wrap;"&gt;En: Cost of Accounting Risk&lt;/span&gt;&lt;/p&gt;</t>
  </si>
  <si>
    <t>MCECCONI</t>
  </si>
  <si>
    <t>Massimiliano</t>
  </si>
  <si>
    <t>CECCONI</t>
  </si>
  <si>
    <t>2025-07-03</t>
  </si>
  <si>
    <t>2025-09-15</t>
  </si>
  <si>
    <t>d1cc8382-ada2-4b08-ad99-1d280cf28303</t>
  </si>
  <si>
    <t>Cost of Risk - quarterly decumulated</t>
  </si>
  <si>
    <t>&lt;p&gt;&lt;strong&gt;CREDIT RISK&lt;/strong&gt;&lt;/p&gt;
&lt;p&gt;It : La metrica monitora l'incidenza del Costo del Rischio P&amp;amp;L (c.d. “Reported”, ossia comprensivo di DTER, costi di collection e fondo altri rischi) del trimestre decumulato.&lt;/p&gt;
&lt;p&gt;&lt;br/&gt;En : The metric monitors the incidence of the Cost of P&amp;amp;L Risk (so-called Reported", i.e. including DTER, collection costs and other risk fund) of the cumulated quarter."&lt;/p&gt;</t>
  </si>
  <si>
    <t>Outstanding IAS (On Balance)</t>
  </si>
  <si>
    <t>&lt;p&gt;&lt;strong&gt;CREDIT RISK&lt;/strong&gt;&lt;/p&gt;
&lt;p&gt;It : La metrica monitora l'incidenza del Costo del Rischio P&amp;amp;L (c.d. “Reported”, ossia comprensivo di DTER, costi di collection e fondo altri rischi) sull’esposizione creditizia lorda media (Bucket 1 + Bucket 2 + Bucket 3).&lt;/p&gt;
&lt;p&gt;Per esposizione creditizia si intende quella contabile lorda, solo On Balance, che include Rappel, Sword e conti non per pratica.&lt;/p&gt;
&lt;p&gt;En : The metric monitors the impact of the P&amp;amp;L Cost of Risk (so-called “Reported”, i.e. including DTER, collection costs and other risk fund) on the average gross credit exposure (Bucket 1 + Bucket 2 + Bucket 3).&lt;/p&gt;
&lt;p&gt;Credit exposure means the gross accounting exposure, On Balance only, which includes Rappel, Sword and non-practice accounts. &lt;/p&gt;</t>
  </si>
  <si>
    <t>Cost of Risk - yearly estimated</t>
  </si>
  <si>
    <t>&lt;p&gt;&lt;strong&gt;CREDIT RISK &lt;/strong&gt;&lt;/p&gt;
&lt;p&gt;It : La metrica monitora l'incidenza del Costo del Rischio P&amp;amp;L (c.d. “Reported”, ossia comprensivo di DTER, costi di collection e fondo altri rischi) annuale atteso a fine anno.&lt;/p&gt;
&lt;p&gt;Esso è calcolato come somma dei valori mensili di CoR P&amp;amp;L già osservati nel corso dell’anno e, per i mesi attesi, dei valori ultimi di CoR P&amp;amp;L stimati, siano essi dati di Budget o di E1 o di E2 o di E3 o di E4.&lt;/p&gt;
&lt;p&gt;&lt;br/&gt;En : The metric monitors the incidence of the Cost of P&amp;amp;L Risk (so-called "Reported", i.e. including DTER, collection costs and other risk fund) expected at the end of the year.&lt;/p&gt;
&lt;p&gt;It is calculated as the sum of the monthly CoR P&amp;amp;L values ​​already observed during the year and, for the expected months, of the latest estimated CoR P&amp;amp;L values, whether they are Budget or E1 or E2 or E3 or E4 data.&lt;/p&gt;</t>
  </si>
  <si>
    <t>Cost to Income Ratio</t>
  </si>
  <si>
    <t>Costi Operativi (OPEX)</t>
  </si>
  <si>
    <t>&lt;p&gt;&lt;strong&gt;PROFITABILITY&lt;/strong&gt;&lt;/p&gt;
&lt;p&gt;It : La metrica monitora i livelli di efficienza della struttura operativa&lt;/p&gt;
&lt;p&gt;&lt;br/&gt;En : The metric monitors the efficiency levels of the operating structure&lt;/p&gt;</t>
  </si>
  <si>
    <t>Margine di Intermediazione</t>
  </si>
  <si>
    <t>Cyber risk: ISS - Awareness of cybersecurity among employees (%)</t>
  </si>
  <si>
    <t>Total number of employees</t>
  </si>
  <si>
    <t>&lt;p&gt;&lt;strong&gt;SECURITY AND BUSINESS CONTINUITY RISK&lt;/strong&gt;&lt;/p&gt;
&lt;p&gt;It : La metrica monitora la percentuale di dipendenti che hanno ricevuto una adeguata formazione sulla sicurezza informatica negli ultimi tre anni. Mantenersi al di sopra della soglia obiettivo richiede un rinnovo permanente delle attività di formazione.&lt;/p&gt;
&lt;p&gt;La metrica è calcolata solo sul tasso di follow-up della formazione IFCAM / Surfclean (per il momento).&lt;/p&gt;
&lt;p&gt;En : The metric tracks the percentage of employees who have received adequate cybersecurity training in the past three years. Staying above the target threshold requires a permanent renewal of training activities.&lt;/p&gt;
&lt;p&gt;The metric is calculated on the IFCAM / Surfclean training follow-up rate only (for now).&lt;/p&gt;</t>
  </si>
  <si>
    <t>Number of employees who have successfully completed at least once in the past three years "cyber security training"</t>
  </si>
  <si>
    <t>Cyber risk: ISS - IT Recovery Plan (%)</t>
  </si>
  <si>
    <t>Number of succeeded PUIS tests on strategic or vital applications</t>
  </si>
  <si>
    <t>&lt;p&gt;&lt;strong&gt;SECURITY AND BUSINESS CONTINUITY RISK&lt;/strong&gt;&lt;/p&gt;
&lt;p&gt;It : La metrica monitora la capacità di continuare la propria attività dopo la distruzione o l’indisponibilità di un data center (scenario PUIS BCP).&lt;/p&gt;
&lt;p&gt;Il ratio dipende direttamente dal numero di applicazioni vitali o strategiche il cui piano di recupero PUIS è stato testato con successo. &lt;/p&gt;
&lt;p&gt; &lt;/p&gt;
&lt;p&gt;En : The metric monitors the ability to continue its business after the destruction or unavailability of a data center (PUIS BCP scenario).&lt;/p&gt;
&lt;p&gt;The ratio directly depends on the number of vital or strategic applications whose PUIS recovery plan has been successfully tested. &lt;/p&gt;</t>
  </si>
  <si>
    <t>Number of streategic or vital applications</t>
  </si>
  <si>
    <t>&lt;p class="editor-paragraph" dir="ltr"&gt;&lt;span style="white-space: pre-wrap;"&gt;It: Il DTER corrisponde all'effetto del tempo trascorso sull'importo iniziale dell'accantonamento attualizzato. &lt;/span&gt;&lt;/p&gt;&lt;p class="editor-paragraph" dir="ltr"&gt;&lt;span style="white-space: pre-wrap;"&gt;Il suo principio consiste nel recuperare, per l'intera durata del contratto, l'accantonamento aggiuntivo relativo all'attualizzazione al fine di convergere verso la perdita effettiva al momento della sua realizzazione. L'annullamento dell'attualizzazione è disciplinato dall'IFRS 9 (Curing of a credit-impaired financial asset). &lt;/span&gt;&lt;/p&gt;&lt;p class="editor-paragraph" dir="ltr"&gt;&lt;span style="white-space: pre-wrap;"&gt;L'IFRS 9 stabilisce che "Nel conto economico, un'entità può presentare interessi precedentemente non rilevati come proventi da interessi o, in alternativa, è tenuta a presentarli come ripristino di valore. &lt;/span&gt;&lt;/p&gt;&lt;p class="editor-paragraph" dir="ltr"&gt;&lt;span style="white-space: pre-wrap;"&gt;Gli interessi non rilevati sono la differenza tra gli interessi calcolati sul valore contabile lordo (GCA) dell'attività finanziaria e gli interessi netti rilevati sulla base del valore contabile netto dell'attività finanziaria durante il periodo in cui l'attività è deteriorata". &lt;/span&gt;&lt;/p&gt;&lt;p class="editor-paragraph" dir="ltr"&gt;&lt;span style="white-space: pre-wrap;"&gt;L'impatto dell'annullamento dell'effetto temporale dello sconto (DTER) deve essere considerato nel Costo del Rischio e nel Margine di Intermediazione Bancaria (NBI). &lt;/span&gt;&lt;/p&gt;&lt;p class="editor-paragraph" dir="ltr"&gt;&lt;span style="white-space: pre-wrap;"&gt;Non ha alcun impatto sul conto economico, ma influisce sul margine di intermediazione bancaria (NBI) come ricavo e sul costo del rischio come perdita.&lt;/span&gt;&lt;/p&gt;&lt;p class="editor-paragraph" dir="ltr"&gt;&lt;span style="white-space: pre-wrap;"&gt;In Agos, il DTER è supervisionato dal comitato locale di accantonamento, che ha la competenza di convalidare qualsiasi modifica relativa al calcolo del DTER. &lt;/span&gt;&lt;/p&gt;&lt;p class="editor-paragraph" dir="ltr"&gt;&lt;span style="white-space: pre-wrap;"&gt;Tali modifiche devono essere convalidate al primo livello dal comitato di accantonamento (ovvero supportate da un parere di rischio) e al secondo livello dal CAPFM.&lt;/span&gt;&lt;/p&gt;&lt;p class="editor-paragraph" dir="ltr"&gt;&lt;span style="white-space: pre-wrap;"&gt;Input necessari per il calcolo del DTER:&lt;/span&gt;&lt;/p&gt;&lt;p class="editor-paragraph" dir="ltr"&gt;&lt;span style="white-space: pre-wrap;"&gt;• B3 Outstanding - B3 Real Outstanding alla fine di ogni mese, suddiviso per canali (se possibile)&lt;/span&gt;&lt;/p&gt;&lt;p class="editor-paragraph" dir="ltr"&gt;&lt;span style="white-space: pre-wrap;"&gt;• Voci in B3 - voci in B3 del mese&lt;/span&gt;&lt;/p&gt;&lt;p class="editor-paragraph" dir="ltr"&gt;&lt;span style="white-space: pre-wrap;"&gt;• Tasso di accantonamento scontato - Tasso di accantonamento scontato al 31-12-(Y-1). Tasso di accantonamento scontato all'ultimo aggiornamento del periodo N+1&lt;/span&gt;&lt;/p&gt;&lt;p class="editor-paragraph" dir="ltr"&gt;&lt;span style="white-space: pre-wrap;"&gt;• Accantonamento scontato - Tasso di accantonamento non scontato al 31-12-(Y-1). Tasso di accantonamento non scontato all'ultimo aggiornamento del periodo N+1&lt;/span&gt;&lt;/p&gt;&lt;p class="editor-paragraph" dir="ltr"&gt;&lt;br/&gt;&lt;/p&gt;&lt;p class="editor-paragraph" dir="ltr"&gt;&lt;span style="white-space: pre-wrap;"&gt;En: The DTER corresponds to the effect of time passing on the initial actualized provision amount. Its principle consists in recovering, on the entire contract duration, the additional provision related to the actualization in order to converge towards the effective loss when produced. The unwinding of discount is guided by the IFRS 9 (Curing of a credit-impaired financial asset). IFRS 9 states that "In the statement of profit or loss, an entity can present previously unrecognised interest as interest revenue or, instead, is required to present it as a reversal of impairment losses. Unrecognised interest is the difference between the interest calculated on the gross carrying amount (GCA) of the financial asset and the net interest recognised based on the net carrying amount of the financial asset during the period that the asset is credit-impaired". Within CAPFM Group the unwinding of discount is addressed into the GPS 314. &lt;/span&gt;&lt;/p&gt;&lt;p class="editor-paragraph" dir="ltr"&gt;&lt;span style="white-space: pre-wrap;"&gt;The Discount Time Effect Reversal (DTER) impact has to be taken into account in the Cost of Risk and the Net Banking Income (NBI). It has no P&amp;amp;L impact, it impacts the Net Banking Income (NBI) as revenue and the Cost of Risk as loss&lt;/span&gt;&lt;/p&gt;&lt;p class="editor-paragraph" dir="ltr"&gt;&lt;span style="white-space: pre-wrap;"&gt;In Agos the DTER is being supervised through the local Provision committee which has the competence to validate any changes relating to the computation of DTER. Those changes must be validated at 1st level by the provision committee (i.e. supported by risk opinion) then at the second level by CAPFM.&lt;/span&gt;&lt;/p&gt;&lt;p class="editor-paragraph" dir="ltr"&gt;&lt;span style="white-space: pre-wrap;"&gt;Inputs needed for computation of DTEr:&lt;/span&gt;&lt;/p&gt;&lt;p class="editor-paragraph" dir="ltr"&gt;&lt;span style="white-space: pre-wrap;"&gt;•&lt;/span&gt;&lt;span style="white-space: pre-wrap;"&gt;	&lt;/span&gt;&lt;span style="white-space: pre-wrap;"&gt;B3 Outstanding - Real B3 outstanding at the end of each month breaking down by channels (if possible)&lt;/span&gt;&lt;/p&gt;&lt;p class="editor-paragraph" dir="ltr"&gt;&lt;span style="white-space: pre-wrap;"&gt;•&lt;/span&gt;&lt;span style="white-space: pre-wrap;"&gt;	&lt;/span&gt;&lt;span style="white-space: pre-wrap;"&gt;Entries in B3 – entries in B3 of the month&lt;/span&gt;&lt;/p&gt;&lt;p class="editor-paragraph" dir="ltr"&gt;&lt;span style="white-space: pre-wrap;"&gt;•&lt;/span&gt;&lt;span style="white-space: pre-wrap;"&gt;	&lt;/span&gt;&lt;span style="white-space: pre-wrap;"&gt;Provision rate discounted - Provision rate discounted 31-12-(Y-1). Provision rate discounted of the last update of the period N+1&lt;/span&gt;&lt;/p&gt;&lt;p class="editor-paragraph" dir="ltr"&gt;&lt;span style="white-space: pre-wrap;"&gt;•&lt;/span&gt;&lt;span style="white-space: pre-wrap;"&gt;	&lt;/span&gt;&lt;span style="white-space: pre-wrap;"&gt;Provision discounted - Provision rate non-discounted 31-12-(Y-1). Provision rate non-discounted of the last update of the period N+1&lt;/span&gt;&lt;/p&gt;&lt;p class="editor-paragraph" dir="ltr"&gt;&lt;br/&gt;&lt;/p&gt;</t>
  </si>
  <si>
    <t>DSTI average-weighted by the production of All Channels</t>
  </si>
  <si>
    <t>Gross Monthly Income</t>
  </si>
  <si>
    <t>&lt;p class="editor-paragraph" dir="ltr"&gt;&lt;b&gt;&lt;strong class="editor-text-bold" style="white-space: pre-wrap;"&gt;RETAIL CREDIT RISK&lt;/strong&gt;&lt;/b&gt;&lt;/p&gt;&lt;p class="editor-paragraph" dir="ltr"&gt;&lt;span style="white-space: pre-wrap;"&gt;It : La metrica misura il livello di indebitamento dei clienti di tutti i Canali Agos rispetto al reddito disponibile totale&lt;/span&gt;&lt;/p&gt;&lt;p class="editor-paragraph" dir="ltr"&gt;&lt;span style="white-space: pre-wrap;"&gt;En : The metric measures the level of indebtedness of customers of all Agos channels with respect to total disposable income&lt;/span&gt;&lt;/p&gt;</t>
  </si>
  <si>
    <t>Total of Monthly Debt Payment</t>
  </si>
  <si>
    <t>E0 22.16 - Amortisation method</t>
  </si>
  <si>
    <t>C2RE Retail</t>
  </si>
  <si>
    <t>&lt;p class="editor-paragraph" dir="ltr"&gt;&lt;span style="white-space: pre-wrap;"&gt;It: Tipo di ammortamento&lt;/span&gt;&lt;/p&gt;&lt;p class="editor-paragraph" dir="ltr"&gt;&lt;span style="white-space: pre-wrap;"&gt;En: Amortizing type of the stage&lt;/span&gt;&lt;/p&gt;</t>
  </si>
  <si>
    <t>Tipo di ammortamento</t>
  </si>
  <si>
    <t>E0 22.28 - Margin</t>
  </si>
  <si>
    <t>&lt;p class="editor-paragraph" dir="ltr"&gt;&lt;span style="white-space: pre-wrap;"&gt;It: Margine da aggiungere all'indice per ottenere il tasso di interesse&lt;/span&gt;&lt;/p&gt;&lt;p class="editor-paragraph" dir="ltr"&gt;&lt;span style="white-space: pre-wrap;"&gt;Espresso in %&lt;/span&gt;&lt;/p&gt;&lt;p class="editor-paragraph" dir="ltr"&gt;&lt;br/&gt;&lt;/p&gt;&lt;p class="editor-paragraph" dir="ltr"&gt;&lt;span style="white-space: pre-wrap;"&gt;En: Margin to be added to the index to obtain the interest rate&lt;/span&gt;&lt;/p&gt;&lt;p class="editor-paragraph" dir="ltr"&gt;&lt;span style="white-space: pre-wrap;"&gt;Expressed as %&lt;/span&gt;&lt;/p&gt;</t>
  </si>
  <si>
    <t>Margine da aggiungere all'indice per ottenere il tasso di interesse. Espresso in %</t>
  </si>
  <si>
    <t>E0 50.6 - Rate rewiew periodicity</t>
  </si>
  <si>
    <t>&lt;p class="editor-paragraph" dir="ltr"&gt;&lt;span style="white-space: pre-wrap;"&gt;It: La periodicità di revisione di un prestito a tasso variabile è la frequenza di revisione del tasso del prestito&lt;/span&gt;&lt;/p&gt;&lt;p class="editor-paragraph" dir="ltr"&gt;&lt;span style="white-space: pre-wrap;"&gt;En: The periodicity of revision a variable rate loan is the frequency of revising the loan rate&lt;/span&gt;&lt;/p&gt;</t>
  </si>
  <si>
    <t>La periodicità di revisione di un prestito a tasso variabile è la frequenza di revisione del tasso del prestito</t>
  </si>
  <si>
    <t>E0 8.11 - Rate type</t>
  </si>
  <si>
    <t>&lt;p class="editor-paragraph" dir="ltr"&gt;&lt;span style="white-space: pre-wrap;"&gt;It: Indica il tipo di tasso di interesse&lt;/span&gt;&lt;/p&gt;&lt;p class="editor-paragraph" dir="ltr"&gt;&lt;no-hyperlink&gt;&lt;span style="white-space: pre-wrap;"&gt;En: Indicates the type of interest rate of the stage&lt;/span&gt;&lt;/no-hyperlink&gt;&lt;/p&gt;</t>
  </si>
  <si>
    <t>Indica il tipo di tasso di interesse</t>
  </si>
  <si>
    <t>E0L 22.16 - Amortisation method</t>
  </si>
  <si>
    <t>E0L - C2RE (for liability)</t>
  </si>
  <si>
    <t>&lt;p class="editor-paragraph" dir="ltr"&gt;&lt;span style="white-space: pre-wrap;"&gt;It: Tipo di ammortamento dell'operazione: da valorizzare costante "O"&lt;/span&gt;&lt;/p&gt;&lt;p class="editor-paragraph" dir="ltr"&gt;&lt;span style="white-space: pre-wrap;"&gt;En: Type of amortization of the operation: to be valued constant "O"&lt;/span&gt;&lt;/p&gt;</t>
  </si>
  <si>
    <t>2025-04-18</t>
  </si>
  <si>
    <t>2025-04-22</t>
  </si>
  <si>
    <t>E1 51.3 - Maturity date</t>
  </si>
  <si>
    <t>C2RE Treasury</t>
  </si>
  <si>
    <t>&lt;p class="editor-paragraph" dir="ltr"&gt;&lt;span style="white-space: pre-wrap;"&gt;It: Data di fine del periodo di calcolo degli interessi&lt;/span&gt;&lt;/p&gt;&lt;p class="editor-paragraph" dir="ltr"&gt;&lt;span style="white-space: pre-wrap;"&gt;En: End date of the interest calculation period&lt;/span&gt;&lt;/p&gt;</t>
  </si>
  <si>
    <t>Data di fine del periodo di calcolo degli interessi</t>
  </si>
  <si>
    <t>2025-04-29</t>
  </si>
  <si>
    <t>E1 8.11 - Rate type</t>
  </si>
  <si>
    <t>E1L 51.3 - Maturity date</t>
  </si>
  <si>
    <t>E1L - C2RE (for liability)</t>
  </si>
  <si>
    <t>&lt;p class="editor-paragraph" dir="ltr"&gt;&lt;span style="white-space: pre-wrap;"&gt;It: Date di fine periodo dei rimborsi .Sono le date dalla data di osservazione alla data di fine validatà in cui l'operazione (sia finanziamento che titolo) rimborsa una parte del capitale iniziale&lt;/span&gt;&lt;/p&gt;&lt;p class="editor-paragraph" dir="ltr"&gt;&lt;span style="white-space: pre-wrap;"&gt;En: Repayment period end dates. These are the dates from the observation date to the validity end date on which the operation (whether financing or security) repays a portion of the initial capital.&lt;/span&gt;&lt;/p&gt;</t>
  </si>
  <si>
    <t>Date di fine periodo dei rimborsi .Sono le date dalla data di osservazione alla data di fine validatà in cui l'operazione (sia finanziamento che titolo) rimborsa una parte del capitale iniziale</t>
  </si>
  <si>
    <t>f1ff1721-963e-495b-a73b-fd3cc1965833</t>
  </si>
  <si>
    <t>E1L 8.11 - Rate type</t>
  </si>
  <si>
    <t>&lt;p class="editor-paragraph" dir="ltr"&gt;&lt;span style="white-space: pre-wrap;"&gt;It: Tipo di tasso: da anagrafica operazione (titolo o finanziamento) SAP&lt;/span&gt;&lt;/p&gt;&lt;p class="editor-paragraph" dir="ltr"&gt;&lt;span style="white-space: pre-wrap;"&gt;R : operazione con tasso variabile &lt;/span&gt;&lt;/p&gt;&lt;p class="editor-paragraph" dir="ltr"&gt;&lt;span style="white-space: pre-wrap;"&gt;F : operazione con tasso fisso&lt;/span&gt;&lt;/p&gt;&lt;p class="editor-paragraph"&gt;&lt;br/&gt;&lt;/p&gt;&lt;p class="editor-paragraph" dir="ltr"&gt;&lt;span style="white-space: pre-wrap;"&gt;En: Rate type: from SAP transaction master data (securities or financing)&lt;/span&gt;&lt;/p&gt;&lt;p class="editor-paragraph" dir="ltr"&gt;&lt;span style="white-space: pre-wrap;"&gt;R: transaction with variable rate&lt;/span&gt;&lt;/p&gt;&lt;p class="editor-paragraph" dir="ltr"&gt;&lt;span style="white-space: pre-wrap;"&gt;F: transaction with fixed rate&lt;/span&gt;&lt;/p&gt;</t>
  </si>
  <si>
    <t>Elettric and Hybrid Fleet (*)</t>
  </si>
  <si>
    <t>&lt;p class="editor-paragraph" dir="ltr"&gt;&lt;b&gt;&lt;strong class="editor-text-bold" style="white-space: pre-wrap;"&gt;CLIMATE RISK&lt;/strong&gt;&lt;/b&gt;&lt;/p&gt;&lt;p class="editor-paragraph" dir="ltr"&gt;&lt;span style="white-space: pre-wrap;"&gt;It : La metrica misura la percentuale di auto elettriche/ibride all'interno della flotta aziendale (escluse le auto in ordinazione).&lt;/span&gt;&lt;/p&gt;&lt;p class="editor-paragraph" dir="ltr"&gt;&lt;span style="white-space: pre-wrap;"&gt;En : The metric measures the percentage of electric/hybrid cars within the company fleet (excluding cars on order).&lt;/span&gt;&lt;/p&gt;</t>
  </si>
  <si>
    <t>EL (on IRB perimeter) / EAD (on IRB perimeter)</t>
  </si>
  <si>
    <t>&lt;p class="editor-paragraph" dir="ltr"&gt;&lt;b&gt;&lt;strong class="editor-text-bold" style="white-space: pre-wrap;"&gt;RETAIL CREDIT RISK&lt;/strong&gt;&lt;/b&gt;&lt;/p&gt;&lt;p class="editor-paragraph" dir="ltr"&gt;&lt;span style="white-space: pre-wrap;"&gt;It : La metrica misura il livello di perdita attesa (EL) rispetto all’esposizione a default (EAD), entrambe calcolati sul perimetro IRB.&lt;/span&gt;&lt;/p&gt;&lt;p class="editor-paragraph" dir="ltr"&gt;&lt;span style="white-space: pre-wrap;"&gt;En : The metric measures the level of expected loss (EL) compared to the exposure to default (EAD), both calculated on the IRB perimeter.&lt;/span&gt;&lt;/p&gt;</t>
  </si>
  <si>
    <t>Exposure above the limit on bank counterpart</t>
  </si>
  <si>
    <t>&lt;p&gt;&lt;strong&gt;CONCENTRATION RISK&lt;/strong&gt;&lt;/p&gt;
&lt;p&gt;It : La metrica monitora l’ammontare delle esposizioni nei confronti delle banche eccedenti al corrispondente limite Fircom, qualora ve ne siano.&lt;/p&gt;
&lt;p&gt;En : The metric monitors the amount of exposures to banks exceeding the corresponding Fircom limit, if any.&lt;/p&gt;</t>
  </si>
  <si>
    <t>F1 3.3 - Maturity date</t>
  </si>
  <si>
    <t>&lt;p class="editor-paragraph" dir="ltr"&gt;&lt;span style="white-space: pre-wrap;"&gt;It: Data limite a partire dalla quale tutti i prelievi devono essere rimborsati (Massima data P1 3.4 DATE_END_COMMITMENT per controparte P1 1.1 --&amp;gt; si tratta della durata massima dell'esposizione per controparte)&lt;/span&gt;&lt;/p&gt;&lt;p class="editor-paragraph" dir="ltr"&gt;&lt;span style="white-space: pre-wrap;"&gt;En: Cut-off date following which all draw-downs must be repaid (Maximum date P1 3.4 DATE_END_COMMITMENT for counterparty P1 1.1 --&amp;gt; this is the maximum duration of exposure per counterparty)&lt;/span&gt;&lt;/p&gt;</t>
  </si>
  <si>
    <t>2025-04-01</t>
  </si>
  <si>
    <t>F2 2.6 - Client authorised amount for the facility line</t>
  </si>
  <si>
    <t>It: Importo autorizzato dal cliente per la linea della struttura&lt;br/&gt;En: Client authorised amount for the facility line</t>
  </si>
  <si>
    <t>Importo autorizzato dal cliente per la linea della struttura</t>
  </si>
  <si>
    <t>2024-05-02</t>
  </si>
  <si>
    <t>F2 3.3 - Maturity date</t>
  </si>
  <si>
    <t>&lt;p class="editor-paragraph" dir="ltr"&gt;&lt;span style="white-space: pre-wrap;"&gt;It; Data limite a partire dalla quale tutti i prelievi devono essere rimborsati (Massima data P1 3.4 DATE_END_COMMITMENT per controparte P1 1.1 per Risk Type P1 2.0 --&amp;gt; si tratta della durata massima dell'esposizione per controparte e prodotto)&lt;/span&gt;&lt;/p&gt;&lt;p class="editor-paragraph" dir="ltr"&gt;&lt;span style="white-space: pre-wrap;"&gt;En: Cut-off date following which all draw-downs must be repaid (Maximum date P1 3.4 DATE_END_COMMITMENT for counterparty P1 1.1 for Risk Type P1 2.0 --&amp;gt; this is the maximum duration of exposure per counterparty and product)&lt;/span&gt;&lt;/p&gt;</t>
  </si>
  <si>
    <t>Finstock Non Performing Ratio</t>
  </si>
  <si>
    <t>&lt;p class="editor-paragraph" dir="ltr"&gt;&lt;b&gt;&lt;strong class="editor-text-bold" style="white-space: pre-wrap;"&gt;CORPORATE CREDIT RISK&lt;/strong&gt;&lt;/b&gt;&lt;/p&gt;&lt;p class="editor-paragraph" dir="ltr"&gt;&lt;span style="white-space: pre-wrap;"&gt;It : La metrica misura il livello di esposizioni NPE&lt;/span&gt;&lt;i&gt;&lt;em class="editor-text-italic" style="white-space: pre-wrap;"&gt; (Bucket 3) &lt;/em&gt;&lt;/i&gt;&lt;span style="white-space: pre-wrap;"&gt;sul totale esposizioni creditizie lorde &lt;/span&gt;&lt;i&gt;&lt;em class="editor-text-italic" style="white-space: pre-wrap;"&gt;(Bucket 1 + Bucket 2 + Bucket 3)&lt;/em&gt;&lt;/i&gt;&lt;span style="white-space: pre-wrap;"&gt; del prodotto Finstock.&lt;/span&gt;&lt;/p&gt;&lt;p class="editor-paragraph" dir="ltr"&gt;&lt;span style="white-space: pre-wrap;"&gt;Per esposizione creditizia si intende quella contabile lorda, solo On Balance. &lt;/span&gt;&lt;/p&gt;&lt;p class="editor-paragraph"&gt;&lt;span style="white-space: pre-wrap;"&gt; &lt;/span&gt;&lt;/p&gt;&lt;p class="editor-paragraph" dir="ltr"&gt;&lt;span style="white-space: pre-wrap;"&gt;En : The metric measures the level of NPE exposures (Bucket 3) on the total gross credit exposures (Bucket 1 + Bucket 2 + Bucket 3) of the Finstock product.&lt;/span&gt;&lt;/p&gt;&lt;p class="editor-paragraph" dir="ltr"&gt;&lt;span style="white-space: pre-wrap;"&gt;Credit exposure means the gross accounting one, On Balance only.&lt;/span&gt;&lt;/p&gt;</t>
  </si>
  <si>
    <t>TCR - Total Capital Ratio</t>
  </si>
  <si>
    <t>&lt;p class="editor-paragraph" dir="ltr"&gt;&lt;span style="white-space: pre-wrap;"&gt;It: I fondi propri rappresentano il primo presidio a fronte dei rischi connessi con l’attività degli intermediari finanziari e il principale parametro di riferimento per gli istituti prudenziali e per le valutazioni dell’Autorità di vigilanza.&lt;/span&gt;&lt;/p&gt;&lt;p class="editor-paragraph" dir="ltr"&gt;&lt;span style="white-space: pre-wrap;"&gt;I fondi propri sono costituiti dalla somma del capitale di classe 1 e del capitale di classe 2.&lt;/span&gt;&lt;/p&gt;&lt;p class="editor-paragraph"&gt;&lt;span style="white-space: pre-wrap;"&gt;- &lt;/span&gt;&lt;a class="editor-link" href="https://cacf.collibra.com/rest/2.0/attachments/0197ca05-f3b5-7564-abc6-3c50fa8ffb92/file/"&gt;&lt;span style="white-space: pre-wrap;"&gt;Documento che spiega i processi di aggregazione dei dati utilizzati per il calcolo degli indicatori RAF&lt;/span&gt;&lt;/a&gt;&lt;/p&gt;&lt;p class="editor-paragraph"&gt;&lt;br/&gt;&lt;/p&gt;&lt;p class="editor-paragraph" dir="ltr"&gt;&lt;span style="white-space: pre-wrap;"&gt;En: Own funds represent the first protection against risks associated with the activity of financial intermediaries and the main reference parameter for prudential institutions and for the assessments of the Supervisory Authority. &lt;/span&gt;&lt;/p&gt;&lt;p class="editor-paragraph" dir="ltr"&gt;&lt;span style="white-space: pre-wrap;"&gt;Own funds are made up of the sum of Tier 1 capital and Tier 2 capital.&lt;/span&gt;&lt;/p&gt;&lt;p class="editor-paragraph"&gt;&lt;span style="white-space: pre-wrap;"&gt;- &lt;/span&gt;&lt;a class="editor-link" href="https://cacf.collibra.com/rest/2.0/attachments/0197ca05-f3b5-7564-abc6-3c50fa8ffb92/file/"&gt;&lt;span style="white-space: pre-wrap;"&gt;Document explaining the data aggregation processes used for the calculation of RAF indicators&lt;/span&gt;&lt;/a&gt;&lt;/p&gt;</t>
  </si>
  <si>
    <t>FPCR 100 - Strike price</t>
  </si>
  <si>
    <t>FPCR - PALMA usage</t>
  </si>
  <si>
    <t>&lt;p class="editor-paragraph" dir="ltr"&gt;&lt;span style="white-space: pre-wrap;"&gt;It: Indica il limite massimo del tasso di interesse, se esistente.&lt;/span&gt;&lt;/p&gt;&lt;p class="editor-paragraph" dir="ltr"&gt;&lt;span style="white-space: pre-wrap;"&gt;Il tasso deve essere espresso in percentuale.&lt;/span&gt;&lt;/p&gt;&lt;p class="editor-paragraph" dir="ltr"&gt;&lt;span style="white-space: pre-wrap;"&gt;En: Indicates the interest rate cap if exists&lt;/span&gt;&lt;/p&gt;&lt;p class="editor-paragraph" dir="ltr"&gt;&lt;span style="white-space: pre-wrap;"&gt;The rate must be expressed as a percentage.&lt;/span&gt;&lt;/p&gt;</t>
  </si>
  <si>
    <t>Indica il limite massimo del tasso di interesse, se esistente. Il tasso deve essere espresso in percentuale.</t>
  </si>
  <si>
    <t>2025-09-11</t>
  </si>
  <si>
    <t>FPCR 2 - Product code</t>
  </si>
  <si>
    <t>&lt;p class="editor-paragraph" dir="ltr"&gt;&lt;span style="white-space: pre-wrap;"&gt;It: Codice prodotto conforme al sistema di riferimento comune PALMA&lt;/span&gt;&lt;/p&gt;&lt;p class="editor-paragraph" dir="ltr"&gt;&lt;span style="white-space: pre-wrap;"&gt;En: Product code in accordance with PALMA common reference frame &lt;/span&gt;&lt;/p&gt;</t>
  </si>
  <si>
    <t>Codice prodotto conforme al sistema di riferimento comune PALMA</t>
  </si>
  <si>
    <t>FPCR 75 - Rate next review date</t>
  </si>
  <si>
    <t>Determina il periodo successivo (P+1) se il periodo P0 è in corso. Da compilare obbligatoriamente per tutti i crediti con tipi di tasso diversi da 1. Non compilare per i crediti nell'ultimo ciclo del periodo di pagamento.Dati obbligatori, tranne se "Tipo di tasso" = "F"("Tipo di tasso" dal flusso di rischio)</t>
  </si>
  <si>
    <t>2025-04-11</t>
  </si>
  <si>
    <t>FPCR 77 - Rate review periodicity</t>
  </si>
  <si>
    <t>&lt;p class="editor-paragraph" dir="ltr"&gt;&lt;span style="white-space: pre-wrap;"&gt;It: Da compilare per tutti i crediti con tassi di interesse indicizzati. Non compilare per i crediti relativi all'ultimo ciclo di pagamento.&lt;/span&gt;&lt;/p&gt;&lt;p class="editor-paragraph" dir="ltr"&gt;&lt;span style="white-space: pre-wrap;"&gt;Dati obbligatori, tranne se "Tipo di tasso" = "F"&lt;/span&gt;&lt;/p&gt;&lt;p class="editor-paragraph" dir="ltr"&gt;&lt;span style="white-space: pre-wrap;"&gt;("Tipo di tasso" dal flusso di rischio)&lt;/span&gt;&lt;/p&gt;&lt;p class="editor-paragraph"&gt;&lt;br/&gt;&lt;/p&gt;&lt;p class="editor-paragraph" dir="ltr"&gt;&lt;span style="white-space: pre-wrap;"&gt;En: Must be filled for all credits with indexed interest rates. Do not fill for credits the last payment period cycle.&lt;/span&gt;&lt;/p&gt;&lt;p class="editor-paragraph" dir="ltr"&gt;&lt;span style="white-space: pre-wrap;"&gt;Mandatory data except if "Rate type" = "F"&lt;/span&gt;&lt;/p&gt;&lt;p class="editor-paragraph" dir="ltr"&gt;&lt;span style="white-space: pre-wrap;"&gt;("Rate type" from risk flow)&lt;/span&gt;&lt;/p&gt;</t>
  </si>
  <si>
    <t xml:space="preserve"> Da compilare per tutti i crediti con tassi di interesse indicizzati. Non compilare per i crediti relativi all'ultimo ciclo di pagamento.Dati obbligatori, tranne se "Tipo di tasso" = "F"("Tipo di tasso" dal flusso di rischio)</t>
  </si>
  <si>
    <t>2025-05-21</t>
  </si>
  <si>
    <t>FPDT 2 - Product code</t>
  </si>
  <si>
    <t>FPDT - PALMA usage</t>
  </si>
  <si>
    <t>&lt;p class="editor-paragraph" dir="ltr"&gt;&lt;span style="white-space: pre-wrap;"&gt;It: Codifica del prodotto secondo l'elenco dei tipi di prodotto PALMA&lt;/span&gt;&lt;/p&gt;&lt;p class="editor-paragraph" dir="ltr"&gt;&lt;span style="white-space: pre-wrap;"&gt;En: Product codification according to PALMA product type list&lt;/span&gt;&lt;/p&gt;</t>
  </si>
  <si>
    <t>Codifica del prodotto secondo l'elenco dei tipi di prodotto PALMA</t>
  </si>
  <si>
    <t>2025-09-19</t>
  </si>
  <si>
    <t>FPPR 2 - Product code</t>
  </si>
  <si>
    <t>FPPR - PALMA usage</t>
  </si>
  <si>
    <t>FPPR 53 - Rate next review date</t>
  </si>
  <si>
    <t>&lt;p class="editor-paragraph" dir="ltr"&gt;&lt;span style="white-space: pre-wrap;"&gt;It: Su fin tasso variabile : Data della prossima revisione del tasso rispetto alla data di osservazione&lt;/span&gt;&lt;/p&gt;&lt;p class="editor-paragraph" dir="ltr"&gt;&lt;span style="white-space: pre-wrap;"&gt;En: On variable rate: Date of the next rate review with respect to the observation date&lt;/span&gt;&lt;/p&gt;</t>
  </si>
  <si>
    <t>Su fin tasso variabile : Data della prossima revisione del tasso rispetto alla data di osservazione</t>
  </si>
  <si>
    <t>FPPR 55 - Rate review periodicity</t>
  </si>
  <si>
    <t>&lt;p class="editor-paragraph" dir="ltr"&gt;&lt;span style="white-space: pre-wrap;"&gt;It: Prossima data di revisione tasso&lt;/span&gt;&lt;/p&gt;&lt;p class="editor-paragraph" dir="ltr"&gt;&lt;span style="white-space: pre-wrap;"&gt;En: Next rate review date&lt;/span&gt;&lt;/p&gt;</t>
  </si>
  <si>
    <t>Prossima data di revisione tasso</t>
  </si>
  <si>
    <t>FPPR 72 - Strike price</t>
  </si>
  <si>
    <t>Indica il limite massimo del tasso di interesse, se esistente.Il tasso deve essere espresso in percentuale.</t>
  </si>
  <si>
    <t>FPRE 2 - Product code</t>
  </si>
  <si>
    <t>FPRE - PALMA usage</t>
  </si>
  <si>
    <t>FPRE 60 - Rate type</t>
  </si>
  <si>
    <t>&lt;p class="editor-paragraph" dir="ltr"&gt;&lt;span style="white-space: pre-wrap;"&gt;It: Tipo di tasso del finanziamento&lt;/span&gt;&lt;/p&gt;&lt;p class="editor-paragraph" dir="ltr"&gt;&lt;span style="white-space: pre-wrap;"&gt;Se "Tipo prodotto" = 51 =&amp;gt; Fin tasso fisso = "F"&lt;/span&gt;&lt;/p&gt;&lt;p class="editor-paragraph" dir="ltr"&gt;&lt;span style="white-space: pre-wrap;"&gt;Se "Tipo prodotto" = 55 =&amp;gt; Fin tasso variabile = "R"&lt;/span&gt;&lt;/p&gt;&lt;p class="editor-paragraph" dir="ltr"&gt;&lt;br/&gt;&lt;/p&gt;&lt;p class="editor-paragraph" dir="ltr"&gt;&lt;span style="white-space: pre-wrap;"&gt;En: Financing Rate Type&lt;/span&gt;&lt;/p&gt;&lt;p class="editor-paragraph" dir="ltr"&gt;&lt;span style="white-space: pre-wrap;"&gt;If "Product Type" = 51 =&amp;gt; Fin Fixed Rate = "F"&lt;/span&gt;&lt;/p&gt;&lt;p class="editor-paragraph" dir="ltr"&gt;&lt;span style="white-space: pre-wrap;"&gt;If "Product Type" = 55 =&amp;gt; Fin Variable Rate = "R"&lt;/span&gt;&lt;/p&gt;</t>
  </si>
  <si>
    <t>Tipo di tasso del finanziamento. Se "Tipo prodotto" = 51 =&amp;gt; Fin tasso fisso = "F". Se "Tipo prodotto" = 55 =&amp;gt; Fin tasso variabile = "R"</t>
  </si>
  <si>
    <t>FPRE 67 - Rate rewiew periodicity</t>
  </si>
  <si>
    <t>&lt;p class="editor-paragraph" dir="ltr"&gt;&lt;span style="white-space: pre-wrap;"&gt;It: Periodicità di revisione del tasso&lt;/span&gt;&lt;/p&gt;&lt;p class="editor-paragraph" dir="ltr"&gt;&lt;span style="white-space: pre-wrap;"&gt;tabella VTBFINKO  "Frequenza degli interessi" e poi utilizza il codice secondo le associazioni nel foglio LC 0255.&lt;/span&gt;&lt;/p&gt;&lt;p class="editor-paragraph"&gt;&lt;br/&gt;&lt;/p&gt;&lt;p class="editor-paragraph" dir="ltr"&gt;&lt;span style="white-space: pre-wrap;"&gt;En: Rate review frequency&lt;/span&gt;&lt;/p&gt;&lt;p class="editor-paragraph" dir="ltr"&gt;&lt;span style="white-space: pre-wrap;"&gt;VTBFINKO table "Interest frequency" and then use the code according to the associations in the LC 0255 sheet.&lt;/span&gt;&lt;/p&gt;</t>
  </si>
  <si>
    <t>Periodicità di revisione del tasso tabella VTBFINKO  "Frequenza degli interessi" e poi utilizza il codice secondo le associazioni nel foglio LC 0255.</t>
  </si>
  <si>
    <t>FPRE 68 - Rate review periodicity</t>
  </si>
  <si>
    <t>FPRE 69 - Margin</t>
  </si>
  <si>
    <t>&lt;p class="editor-paragraph" dir="ltr"&gt;&lt;span style="white-space: pre-wrap;"&gt;It: Valore dello Spread  da aggiungere al tasso variabile  per avere il tasso finito&lt;/span&gt;&lt;/p&gt;&lt;p class="editor-paragraph" dir="ltr"&gt;&lt;span style="white-space: pre-wrap;"&gt;da "Dotazioni" in anagrafica operazione. Solo per tasso Variabile&lt;/span&gt;&lt;/p&gt;&lt;p class="editor-paragraph" dir="ltr"&gt;&lt;span style="white-space: pre-wrap;"&gt;Da tabella VTBAFINKO-PKOND&lt;/span&gt;&lt;/p&gt;&lt;p class="editor-paragraph" dir="ltr"&gt;&lt;br/&gt;&lt;/p&gt;&lt;p class="editor-paragraph" dir="ltr"&gt;&lt;span style="white-space: pre-wrap;"&gt;En: Spread value to add to the variable rate to have the finished rate&lt;/span&gt;&lt;/p&gt;&lt;p class="editor-paragraph" dir="ltr"&gt;&lt;span style="white-space: pre-wrap;"&gt;from "Equipment" in the operation registry. Only for Variable rate&lt;/span&gt;&lt;/p&gt;&lt;p class="editor-paragraph" dir="ltr"&gt;&lt;span style="white-space: pre-wrap;"&gt;From VTBAFINKO-PKOND table&lt;/span&gt;&lt;/p&gt;</t>
  </si>
  <si>
    <t>Valore dello Spread  da aggiungere al tasso variabile  per avere il tasso finito da "Dotazioni" in anagrafica operazione. Solo per tasso Variabile Da tabella VTBAFINKO-PKOND</t>
  </si>
  <si>
    <t>FPSW 2 - Product code</t>
  </si>
  <si>
    <t>FPSW - PALMA usage</t>
  </si>
  <si>
    <t>Funding Rate</t>
  </si>
  <si>
    <t>Margin of PL above 84 months (no BBPM&amp;CA Italy)</t>
  </si>
  <si>
    <t>COF - Cost of Funding  Rate</t>
  </si>
  <si>
    <t>Spread on new production</t>
  </si>
  <si>
    <t>IFRS 9 model - DELTA between ECL in production and observed Losses (backtesting of global provisions)</t>
  </si>
  <si>
    <t>&lt;p&gt;&lt;strong&gt;MODEL RISK&lt;/strong&gt;&lt;/p&gt;
&lt;p&gt;It : La metrica misura lo scostamento tra il dato di ECL in produzione ad una data di riferimento (chiusura d’anno), al netto di eventuali manual adjustment, e le perdite osservate nell’anno successivo, come rilevato in fase di backtesting dei modelli IFRS9 (backtesting of global provisions)&lt;/p&gt;
&lt;p&gt;En : The metric measures the deviation between the ECL data in production at a reference date (end of the year), net of any manual adjustments, and the losses observed in the following year, as detected during the backtesting of the IFRS9 models (backtesting of global provisions)&lt;/p&gt;</t>
  </si>
  <si>
    <t>Inflow into B3 before WO and NPLs sale</t>
  </si>
  <si>
    <t>&lt;p&gt;&lt;strong&gt;CREDIT RISK&lt;/strong&gt;&lt;/p&gt;
&lt;p&gt;It : La metrica monitora i flussi netti Non Performing, senza considerare le cessioni di NPL e passaggi a perdita, ed è calcolata come tutto ciò che entra in default (Bucket 3) al netto di uscite verso i Bucket 1 e Bucket 2, delle pratiche che erano in Bucket 3 ma escono dal portafoglio perché chiuse o estinte anticipatamente e delle collection in Bucket 3. (On e Off Balance)&lt;/p&gt;
&lt;p&gt;En : The metric monitors net Non-Performing flows, without considering NPL disposals and transfers to losses, and is calculated as everything that enters default (Bucket 3) net of exits to Bucket 1 and Bucket 2, practices that were in Bucket 3 but exit the portfolio because they were closed or extinguished early and collections in Bucket 3. (On and Off Balance)&lt;/p&gt;</t>
  </si>
  <si>
    <t>Interest Rate Risk - RTGI - Gap rate</t>
  </si>
  <si>
    <t>&lt;p&gt;&lt;strong&gt;FINANCIAL RISK&lt;/strong&gt;&lt;/p&gt;
&lt;p&gt;It : Differenza tra gli importi in essere di passività e attività (inclusi i derivati di copertura) entro determinati intervalli di tempo.&lt;/p&gt;
&lt;p&gt;En : Difference between the outstanding amounts of liabilities and assets (including hedging derivatives) within certain time intervals.&lt;/p&gt;</t>
  </si>
  <si>
    <t>International sanctions screening (CP04-105)</t>
  </si>
  <si>
    <t>Indicatore di conformità</t>
  </si>
  <si>
    <t>&lt;p&gt;&lt;strong&gt;NON COMPLIANCE RISK&lt;/strong&gt;&lt;/p&gt;
&lt;p&gt;It : La metrica monitora il livello di efficacia della gestione delle segnalazioni sospette in ambito di Sanzioni Internazionali (risultato del controllo CP04-105)&lt;br/&gt;En : Conformity indicator, designation CP04_105&lt;/p&gt;</t>
  </si>
  <si>
    <t>IR 6 of Short Channel BBPM</t>
  </si>
  <si>
    <t>IR6</t>
  </si>
  <si>
    <t>&lt;p&gt;&lt;strong&gt;OPERATIONAL CREDIT RISK&lt;/strong&gt;&lt;/p&gt;
&lt;p&gt;It : La metrica monitora il volume totale dei finanziamenti con due o più rate scadute e non pagate durante i primi 6 mesi di vita a partire dalla data di prima scadenza.&lt;/p&gt;
&lt;p&gt;En : The metric tracks the total volume of loans with two or more overdue and unpaid installments during the first 6 months of life from the first due date.&lt;/p&gt;</t>
  </si>
  <si>
    <t>IR 6 of Short Channel CA Italy</t>
  </si>
  <si>
    <t>IR 6 of Short Channel (no BBPM&amp;CA Italy)</t>
  </si>
  <si>
    <t>IR 6 of Vehicles</t>
  </si>
  <si>
    <t>&lt;p&gt;&lt;strong&gt;OPERATIONAL CREDIT RISK&lt;/strong&gt;&lt;/p&gt;
&lt;p&gt;It : La metrica monitora il volume totale dei finanziamenti con due o più rate scadute e non pagate durante i primi 6 mesi di vita a partire dalla data di prima scadenza.&lt;/p&gt;
&lt;p&gt;En : Total volume of loans with two or more overdue and unpaid installments during the first 6 months of life starting from the first due date.&lt;/p&gt;</t>
  </si>
  <si>
    <t>IRBA model - Number of IRBA parameters with conservatism of estimates test not succeeded</t>
  </si>
  <si>
    <t>&lt;p&gt;&lt;strong&gt;MODEL RISK&lt;/strong&gt;&lt;/p&gt;
&lt;p&gt;It : La metrica misura la quota di portafoglio AIRB su cui si registra una mancanza di conservativismo nei parametri di PD, LGD, ELBE/LGDD, CCF e K secondo le evidenze del backtesting annuale dei modelli AIRB&lt;/p&gt;
&lt;p&gt;En : The metric measures the share of the AIRB portfolio on which there is a lack of conservatism in the PD, LGD, ELBE/LGDD, CCF and K parameters according to the evidence of the annual backtesting of the AIRB models&lt;/p&gt;</t>
  </si>
  <si>
    <t>IR Sensitivity – Bankit methodology (% of Own Funds)</t>
  </si>
  <si>
    <t>&lt;p&gt;&lt;strong&gt;FINANCIAL RISK&lt;/strong&gt;&lt;/p&gt;
&lt;p&gt;It : Questo indice di rischiosità misura la variazione del valore economico della società a fronte di uno shock che determini uno spostamento parallelo di 200 bps della curva dei tassi di interesse, rapportata ai Fondi Propri. La variazione del valore economico è calcolata suddividendo le attività e le passività in fasce temporali di vita residua, alle cui differenze (gap) si applicano coefficienti di ponderazione definiti dalla Normativa di Vigilanza di Banca d’Italia&lt;/p&gt;
&lt;p&gt;En : This risk index measures the change in the economic value of the company in the face of a shock that causes a parallel shift of 200 bps in the interest rate curve, compared to Own Funds. The change in the economic value is calculated by dividing the assets and liabilities into time brackets of residual life, to the differences (gap) weighting coefficients defined by the Supervisory Regulations of the Bank of Italy are applied&lt;/p&gt;</t>
  </si>
  <si>
    <t>ISS - Critical security vulnerabilities on resources exposed on Internet</t>
  </si>
  <si>
    <t>Total number of resources exposed on Internet in the entity</t>
  </si>
  <si>
    <t>&lt;p&gt;&lt;strong&gt;SECURITY AND BUSINESS CONTINUITY RISK&lt;/strong&gt;&lt;/p&gt;
&lt;p&gt;It : La metrica calcola il numero di siti esposti su Internet per i quali è stata confermata una vulnerabilità critica emersa da penetration test, rispetto al numero totale di siti esposti su Internet &lt;/p&gt;
&lt;p&gt;En : The metric calculates the number of sites exposed on the Internet for which a critical vulnerability emerged from penetration tests has been confirmed, compared to the total number of sites exposed on the Internet &lt;/p&gt;</t>
  </si>
  <si>
    <t>Number of resources exposed on Internet with active critical vulnerabilities</t>
  </si>
  <si>
    <t>ISS - Fake phishing campaigns</t>
  </si>
  <si>
    <t>Average click rate</t>
  </si>
  <si>
    <t>&lt;p&gt;&lt;strong&gt;SECURITY AND BUSINESS CONTINUITY RISK&lt;/strong&gt;&lt;/p&gt;
&lt;p&gt;It : La metrica calcola il numero di click eseguiti sui link contenuti nelle email, rispetto al totale delle email inviate nell’ambito dell’ultima campagna di Fake Phishing realizzata negli ultimi 15 mesi. &lt;/p&gt;
&lt;p&gt;En : The metric calculates the number of clicks performed on the links contained in the emails, compared to the total number of emails sent as part of the last Fake Phishing campaign carried out in the last 15 months. &lt;/p&gt;</t>
  </si>
  <si>
    <t>Fake phishing campaigns</t>
  </si>
  <si>
    <t>ISS - Penetration test coverage for resources exposed on Internet</t>
  </si>
  <si>
    <t>Number of resources exposed on Internet with PEN test performed</t>
  </si>
  <si>
    <t>&lt;p&gt;&lt;strong&gt;SECURITY AND BUSINESS CONTINUITY RISK&lt;/strong&gt;&lt;/p&gt;
&lt;p&gt;It : La metrica calcola il numero di siti esposti su Internet che hanno avuto un penetration test negli ultimi 36 mesi rispetto al numero totale di siti esposti su Internet.&lt;/p&gt;
&lt;p&gt;I siti sotto osservazione sono quelli attivi e rilevati nel trimestre precedente a quello osservato&lt;/p&gt;
&lt;p&gt;En : The metric calculates the number of sites exposed on the Internet that have had a penetration test in the last 36 months compared to the total number of sites exposed on the Internet. &lt;/p&gt;
&lt;p&gt;The sites under observation are those active and detected in the quarter preceding the one observed.&lt;/p&gt;</t>
  </si>
  <si>
    <t>ISS - Penetration test coverage for Strategic Resources (SiiS) exposed on Internet.</t>
  </si>
  <si>
    <t>&lt;p&gt;&lt;strong&gt;SECURITY AND BUSINESS CONTINUITY RISK&lt;/strong&gt;&lt;/p&gt;
&lt;p&gt;It : La metrica calcola il numero di SiiS (Streategic Resources) esposti su siti Internet che hanno avuto un penetration test negli ultimi 12 mesi rispetto al numero totale di SiiS (Streategic Resources) esposti su Internet.&lt;/p&gt;
&lt;p&gt;En : The metric calculates the number of SiiS (Strategic Resources) exposed on Internet sites that have had a penetration test in the last 12 months compared to the total number of SiiS (Strategic Resources) exposed on the Internet.&lt;/p&gt;</t>
  </si>
  <si>
    <t>ISS - Risk analysis coverage on eligible projects</t>
  </si>
  <si>
    <t>Total number of projects eligible for MESARI</t>
  </si>
  <si>
    <t>&lt;p&gt;&lt;strong&gt;SECURITY AND BUSINESS CONTINUITY RISK&lt;/strong&gt;&lt;/p&gt;
&lt;p&gt;It : La metrica calcola il numero di progetti con impatti IT per i quali l’analisi MESARI è conclusa, rispetto al numero totale di progetti con impatti IT eleggibili.&lt;/p&gt;
&lt;p&gt;Un progetto è considerato eleggibile se la griglia di scoring ha dato esito positivo, se tale esito è stato ratificato da CISO-RCP e se il progetto è in “Cassaforte” o “Chiuso” nell’anno di calendario. &lt;/p&gt;
&lt;p&gt;En : The metric calculates the number of projects with IT impacts for which the MESARI analysis has been completed, compared to the total number of projects with eligible IT impacts.&lt;/p&gt;
&lt;p&gt;A project is considered eligible if the scoring grid has given a positive result, if this result has been ratified by CISO-RCP and if the project is in "Safe" or "Closed" in the calendar year. &lt;/p&gt;</t>
  </si>
  <si>
    <t>Number of eligible projects covered by a MESARI analysis</t>
  </si>
  <si>
    <t>Know Your Customers (KYC - 2.2.C CP04_101)</t>
  </si>
  <si>
    <t>Nuovi Clienti Conformi</t>
  </si>
  <si>
    <t>&lt;p&gt;&lt;strong&gt;NON COMPLIANCE RISK&lt;/strong&gt;&lt;/p&gt;
&lt;p&gt;It : La metrica misura il grado di conformità dell’azienda alla normativa antiriciclaggio relativamente alla tematica di adeguata verifica della clientela, rapportando il numero di contratti con adeguata verifica valida sul totale dei contratti controllati&lt;/p&gt;
&lt;p&gt;En : The metric measures the degree of compliance of the company with anti-money laundering legislation in relation to customer due diligence, comparing the number of contracts with valid due diligence to the total number of contracts checked &lt;/p&gt;</t>
  </si>
  <si>
    <t>Totale Nuovi Clienti</t>
  </si>
  <si>
    <t>Know Your Customers – Qualitative (KYC - 2.2.C CP04_109)</t>
  </si>
  <si>
    <t>&lt;p class="editor-paragraph" dir="ltr"&gt;&lt;b&gt;&lt;strong class="editor-text-bold" style="white-space: pre-wrap;"&gt;NON COMPLIANCE RISK &lt;/strong&gt;&lt;/b&gt;&lt;/p&gt;&lt;p class="editor-paragraph" dir="ltr"&gt;&lt;b&gt;&lt;strong class="editor-text-bold" style="white-space: pre-wrap;"&gt;(Control over the regulatory compliance of periodic KYC revision)&lt;/strong&gt;&lt;/b&gt;&lt;/p&gt;&lt;p class="editor-paragraph" dir="ltr"&gt;&lt;span style="white-space: pre-wrap;"&gt;It : La metrica misura il grado di conformità dell’azienda alla normativa antiriciclaggio relativamente alla tematica del rispetto dei requisiti normativi relativi all'identificazione e all'aggiornamento della conoscenza del cliente durante tutto il processo vita relazionale durante le revisioni periodiche del KYC di persone fisiche o giuridiche. &lt;/span&gt;&lt;/p&gt;&lt;p class="editor-paragraph" dir="ltr"&gt;&lt;span style="white-space: pre-wrap;"&gt;En : The metric measures the degree of compliance of the company with the anti-money laundering regulations in relation to the issue of compliance with regulatory requirements relating to the identification and updating of customer knowledge throughout the relationship life process during periodic KYC reviews of natural or legal persons.&lt;/span&gt;&lt;/p&gt;</t>
  </si>
  <si>
    <t>Know Your Customers – Quantitative (KYC - 2.2.C GP CACF_879)</t>
  </si>
  <si>
    <t>&lt;p&gt;&lt;strong&gt;NON COMPLIANCE RISK&lt;/strong&gt;&lt;/p&gt;
&lt;p&gt;It : La metrica misura il grado di conformità dell’azienda alla normativa antiriciclaggio relativamente alla tematica del grado di avanzamento della KYC review, rapportando il numero delle attività di aggiornamento dei dati dell’adeguata verifica effettuate nel trimestre di riferimento sul totale degli aggiornamenti che devono essere effettuati nell’anno&lt;/p&gt;
&lt;p&gt;&lt;br/&gt;En : The metric measures the degree of compliance of the company with the anti-money laundering regulations in relation to the topic of the degree of progress of the KYC review, by comparing the number of activities for updating the adequate verification data carried out in the reference quarter to the total number of updates that must be carried out in the year&lt;/p&gt;</t>
  </si>
  <si>
    <t>Leverage limit on OS per rating D+, D and D- (individual concentration limit grid)</t>
  </si>
  <si>
    <t>&lt;p class="editor-paragraph" dir="ltr"&gt;&lt;b&gt;&lt;strong class="editor-text-bold" style="white-space: pre-wrap;"&gt;CORPORATE CREDIT RISK&lt;/strong&gt;&lt;/b&gt;&lt;/p&gt;&lt;p class="editor-paragraph" dir="ltr"&gt;&lt;span style="white-space: pre-wrap;"&gt;It : La metrica monitora il livello di esposizione creditizia complessiva lorda Corporate osservata a fine periodo (On Balance) delle Controparti a “Leva Finanziaria” con Rating della classe D+, D e D-&lt;/span&gt;&lt;/p&gt;&lt;p class="editor-paragraph" dir="ltr"&gt;&lt;span style="white-space: pre-wrap;"&gt;En : The metric monitors the level of overall gross Corporate credit exposure observed at the end of the period (On Balance) of the “Leveraged” Counterparties with Ratings of the D+, D and D- class&lt;/span&gt;&lt;/p&gt;</t>
  </si>
  <si>
    <t>Leverage limit on OS per rating E+, E and E- (individual concentration limit grid)</t>
  </si>
  <si>
    <t>&lt;p class="editor-paragraph" dir="ltr"&gt;&lt;b&gt;&lt;strong class="editor-text-bold" style="white-space: pre-wrap;"&gt;CORPORATE CREDIT RISK&lt;/strong&gt;&lt;/b&gt;&lt;/p&gt;&lt;p class="editor-paragraph" dir="ltr"&gt;&lt;span style="white-space: pre-wrap;"&gt;It : La metrica monitora il livello di esposizione creditizia complessiva lorda Corporate osservata a fine periodo (On Balance) delle Controparti a “Leva Finanziaria”  con Rating E+, E ed E-&lt;/span&gt;&lt;/p&gt;&lt;p class="editor-paragraph" dir="ltr"&gt;&lt;span style="white-space: pre-wrap;"&gt;En : The metric monitors the level of overall gross Corporate credit exposure observed at the end of the period (On Balance) of the “Leveraged” Counterparties with Ratings of the E+, E and E- class&lt;/span&gt;&lt;/p&gt;</t>
  </si>
  <si>
    <t>Leverage limit on OS per rating F+, F and F- (individual concentration limit grid)</t>
  </si>
  <si>
    <t>&lt;p class="editor-paragraph" dir="ltr"&gt;&lt;b&gt;&lt;strong class="editor-text-bold" style="white-space: pre-wrap;"&gt;CORPORATE CREDIT RISK&lt;/strong&gt;&lt;/b&gt;&lt;/p&gt;&lt;p class="editor-paragraph" dir="ltr"&gt;&lt;span style="white-space: pre-wrap;"&gt;It : La metrica monitora il livello di esposizione creditizia complessiva lorda Corporate osservata a fine periodo (On Balance) delle Controparti a “Leva Finanziaria”  con Rating F+, F ed F-&lt;/span&gt;&lt;/p&gt;&lt;p class="editor-paragraph" dir="ltr"&gt;&lt;span style="white-space: pre-wrap;"&gt;En : The metric monitors the level of overall gross Corporate credit exposure observed at the end of the period (On Balance) of the “Leveraged” Counterparties with Ratings of the F+, F and F- class&lt;/span&gt;&lt;/p&gt;</t>
  </si>
  <si>
    <t>Liquidity Coverage Ratio – LCR</t>
  </si>
  <si>
    <t>HQLA - High Quality Liquid Assets</t>
  </si>
  <si>
    <t>&lt;p class="editor-paragraph" dir="ltr"&gt;&lt;b&gt;&lt;strong class="editor-text-bold" style="white-space: pre-wrap;"&gt;FINANCIAL RISK&lt;/strong&gt;&lt;/b&gt;&lt;/p&gt;&lt;p class="editor-paragraph" dir="ltr"&gt;&lt;span style="white-space: pre-wrap;"&gt;It : Indicatore di resilienza a breve termine del profilo di rischio di liquidità, attraverso la verifica della presenza di un livello adeguato di attività liquide di elevata qualità (HQLA), non vincolate, che possano essere facilmente e immediatamente convertite in contanti per soddisfare il fabbisogno di liquidità nell’arco di 30 giorni di calendario in uno scenario di stress di liquidità come da normativa &lt;/span&gt;&lt;/p&gt;&lt;p class="editor-paragraph" dir="ltr"&gt;&lt;span style="white-space: pre-wrap;"&gt;Gli HQLA utilizzati da Agos sono:&lt;/span&gt;&lt;/p&gt;&lt;p class="editor-paragraph" dir="ltr"&gt;&lt;span style="white-space: pre-wrap;"&gt;la Cassa contante,&lt;/span&gt;&lt;/p&gt;&lt;p class="editor-paragraph" dir="ltr"&gt;&lt;span style="white-space: pre-wrap;"&gt;i Titoli di Stato,&lt;/span&gt;&lt;/p&gt;&lt;p class="editor-paragraph" dir="ltr"&gt;&lt;span style="white-space: pre-wrap;"&gt;I Depositi presso BCE (attraverso CACF, in quanto Agos non può effettuare operazioni direttamente con la Banca Centrale)&lt;/span&gt;&lt;/p&gt;&lt;p class="editor-paragraph"&gt;&lt;br/&gt;&lt;/p&gt;&lt;p class="editor-paragraph" dir="ltr"&gt;&lt;span style="white-space: pre-wrap;"&gt;En : Indicator of short-term resilience of the liquidity risk profile, through the verification of the presence of an adequate level of high-quality liquid assets (HQLA), not encumbered, that can be easily and immediately converted into cash to meet the liquidity needs over a 30 calendar day period in a liquidity stress scenario as per the regulations&lt;/span&gt;&lt;br/&gt;&lt;span style="white-space: pre-wrap;"&gt;The HQLA used by Agos are:&lt;/span&gt;&lt;br/&gt;&lt;span style="white-space: pre-wrap;"&gt;• Cash,&lt;/span&gt;&lt;br/&gt;&lt;span style="white-space: pre-wrap;"&gt;• Government bonds,&lt;/span&gt;&lt;br/&gt;&lt;span style="white-space: pre-wrap;"&gt;• Deposits at the ECB (through CACF, as Agos cannot carry out transactions directly with the Central Bank)&lt;/span&gt;&lt;/p&gt;</t>
  </si>
  <si>
    <t>NET CASH OUTFLOW</t>
  </si>
  <si>
    <t>Liquidity Risk - LCM MLT - Funding "secured"</t>
  </si>
  <si>
    <t>&lt;p&gt;&lt;strong&gt;FINANCIAL RISK&lt;/strong&gt;&lt;/p&gt;
&lt;p&gt;It : Concentrazione della raccolta secured a medio-lungo termine (ossia con scadenza originaria superiore a 370 giorni) su ciascun semestre di calendario&lt;/p&gt;
&lt;p&gt;En : Concentration of medium-long term secured funding (i.e. with original maturity greater than 370 days) over each calendar semester&lt;/p&gt;</t>
  </si>
  <si>
    <t>Liquidity Risk - LCM MLT - Funding "unsecured"</t>
  </si>
  <si>
    <t>&lt;p&gt;&lt;strong&gt;FINANCIAL RISK&lt;/strong&gt;&lt;/p&gt;
&lt;p&gt;It : Concentrazione della raccolta unsecured a medio-lungo termine (ossia con scadenza originaria superiore a 370 giorni) su ciascun semestre di calendar&lt;/p&gt;
&lt;p&gt;En : Concentration of medium-long term unsecured funding (i.e. with original maturity greater than 370 days) over each calendar semester&lt;/p&gt;</t>
  </si>
  <si>
    <t>Liquidity Risk - LCM MLT - Global cap on S1 and S2 (secured + unsecured)</t>
  </si>
  <si>
    <t>&lt;p&gt;&lt;strong&gt;FINANCIAL RISK&lt;/strong&gt;&lt;/p&gt;
&lt;p&gt;It : Concentrazione della raccolta nell'anno 1, data dal totale delle scadenze della raccolta MLT sul Semestre 1 e 2.&lt;/p&gt;
&lt;p&gt;En : Concentration of funding in year 1, given by the total of the maturities of MLT funding in Semesters 1 and 2.&lt;/p&gt;</t>
  </si>
  <si>
    <t>M1 3.1 - Local ID of guarantor</t>
  </si>
  <si>
    <t>It: Rappresenta l'ID del garante nel sistema locale utilizzato per generare il flusso&lt;br/&gt;En: Represents the guarantor's ID in the local system used to generate the flow</t>
  </si>
  <si>
    <t>Rappresenta l'ID del garante nel sistema locale utilizzato per generare il flusso</t>
  </si>
  <si>
    <t>2024-05-14</t>
  </si>
  <si>
    <t>2024-05-13</t>
  </si>
  <si>
    <t>M1 3.2 - Central ID of guarantor</t>
  </si>
  <si>
    <t>It: Rappresenta l'ID del garante nel sistema informatico della Divisione Risk Management del Gruppo (ovvero ID centrale RICOS)&lt;br/&gt;En: Represents the guarantor's ID in the Group Risk Management Division IT System (i.e. RICOS central ID)</t>
  </si>
  <si>
    <t>Rappresenta l'ID del garante nel sistema informatico della Divisione Risk Management del Gruppo (ovvero ID centrale RICOS)</t>
  </si>
  <si>
    <t>2024-09-18</t>
  </si>
  <si>
    <t>M1 5.1 - Legal nature of the mitigant</t>
  </si>
  <si>
    <t>It: Permette di determinare il codice corrispondente alla natura giuridica dell'attenuante ricevuta&lt;br/&gt;En: Makes it possible to determine the code corresponding to the legal nature of the mitigant received</t>
  </si>
  <si>
    <t>Permette di determinare il codice corrispondente alla natura giuridica dell'attenuante ricevuta</t>
  </si>
  <si>
    <t>M1 6.1 - Initial amount (attributable to entity)</t>
  </si>
  <si>
    <t>It: Quota iniziale dell'importo attenuante attribuibile all'entità che si assume il rischio&lt;br/&gt;En: Initial share of the mitigant amount attributable to the risk-bearing entity</t>
  </si>
  <si>
    <t>Quota iniziale dell'importo attenuante attribuibile all'entità che si assume il rischio</t>
  </si>
  <si>
    <t>M1 6.3 - Revised amount (attributable to entity)</t>
  </si>
  <si>
    <t>It: Quota rivista dell'importo attenuante attribuibile all'entità che si assume il rischio.
L'importo “iniziale” può essere periodicamente rivisto nell'ambito di procedure di rivalutazione attenuante.
Non prevede haircut regolamentari&lt;br/&gt;En: Revised share of the mitigant amount attributable to the risk-bearing entity.
The “initial” amount may be regularly revised as part of mitigant revaluation procedures. 
It does not include regulatory haircuts</t>
  </si>
  <si>
    <t>Quota rivista dell'importo attenuante attribuibile all'entità che si assume il rischio.
L'importo “iniziale” può essere periodicamente rivisto nell'ambito di procedure di rivalutazione attenuante.
Non prevede haircut regolamentari</t>
  </si>
  <si>
    <t>M1 7.2 - Date expiring</t>
  </si>
  <si>
    <t>It: Data di scadenza dell'attenuante&lt;br/&gt;En: Date of expiry of the mitigant</t>
  </si>
  <si>
    <t>Data di scadenza dell'attenuante&lt;br/&gt;En: Date of expiry of the mitigant</t>
  </si>
  <si>
    <t>2024-05-17</t>
  </si>
  <si>
    <t>M1 8.11 - Place of deposit of real security</t>
  </si>
  <si>
    <t>It: Per garanzie in contanti e titoli&lt;br/&gt;En: For cash collateral and securities</t>
  </si>
  <si>
    <t>Per garanzie in contanti e titoli</t>
  </si>
  <si>
    <t>&lt;p&gt;&lt;strong&gt;OPERATIONAL CREDIT RISK&lt;/strong&gt;&lt;/p&gt;
&lt;p&gt;It : La metrica misura lo spread applicato ai volumi prodotti durante il periodo di osservazione (valore Ytd)&lt;/p&gt;
&lt;p&gt;En : % of net banking income deriving from new production of personal loans  with a duration&amp;gt; 84 months (YtD) compared to the total production of personal loans &lt;/p&gt;</t>
  </si>
  <si>
    <t>IRR medio ponderato</t>
  </si>
  <si>
    <t>Material Incident (Accounting date)</t>
  </si>
  <si>
    <t>&lt;p&gt;&lt;strong&gt;OPERATIONAL RISK&lt;/strong&gt;&lt;/p&gt;
&lt;p&gt;It : La metrica misura la più rilevante perdita operativa contabilizzata nel trimestre di riferimento&lt;/p&gt;
&lt;p&gt;En : The metric measures the largest operating loss recorded in the reference quarter&lt;/p&gt;</t>
  </si>
  <si>
    <t>Maximum Alert threshold on Corporate Outstanding</t>
  </si>
  <si>
    <t>&lt;p class="editor-paragraph" dir="ltr"&gt;&lt;b&gt;&lt;strong class="editor-text-bold" style="white-space: pre-wrap;"&gt;CORPORATE CREDIT RISK&lt;/strong&gt;&lt;/b&gt;&lt;/p&gt;&lt;p class="editor-paragraph" dir="ltr"&gt;&lt;span style="white-space: pre-wrap;"&gt;It : La metrica monitora il livello di esposizione creditizia complessiva lorda Corporate osservata a fine periodo (On Balance).&lt;/span&gt;&lt;/p&gt;&lt;p class="editor-paragraph" dir="ltr"&gt;&lt;span style="white-space: pre-wrap;"&gt;En : The metric monitors the level of overall gross Corporate credit exposure observed at the end of the period (On Balance).&lt;/span&gt;&lt;/p&gt;</t>
  </si>
  <si>
    <t>Net Income</t>
  </si>
  <si>
    <t>RONE</t>
  </si>
  <si>
    <t>&lt;p class="editor-paragraph" dir="ltr"&gt;&lt;b&gt;&lt;strong class="editor-text-bold" style="white-space: pre-wrap;"&gt; PROFITABILITY&lt;/strong&gt;&lt;/b&gt;&lt;/p&gt;&lt;p class="editor-paragraph" dir="ltr"&gt;&lt;span style="white-space: pre-wrap;"&gt;It: La metrica monitora la redditività della società durante il periodo di osservazione (valore annualizzato)&lt;/span&gt;&lt;/p&gt;&lt;p class="editor-paragraph" dir="ltr"&gt;&lt;span style="white-space: pre-wrap;"&gt;En: The metric monitors the company's profitability during the observation period (annualized value)&lt;/span&gt;&lt;/p&gt;</t>
  </si>
  <si>
    <t>Net Income quarterly decumulated</t>
  </si>
  <si>
    <t>&lt;p class="editor-paragraph" dir="ltr"&gt;&lt;b&gt;&lt;strong class="editor-text-bold" style="white-space: pre-wrap;"&gt; PROFITABILITY&lt;/strong&gt;&lt;/b&gt;&lt;/p&gt;&lt;p class="editor-paragraph" dir="ltr"&gt;&lt;span style="white-space: pre-wrap;"&gt;It : La metrica monitora la redditività della società durante il periodo di osservazione (valore trimestrale)&lt;/span&gt;&lt;br/&gt;&lt;span style="white-space: pre-wrap;"&gt;En : The metric monitors the company's profitability during the observation period (quarterly value)&lt;/span&gt;&lt;/p&gt;</t>
  </si>
  <si>
    <t>2025-02-21</t>
  </si>
  <si>
    <t>Net Outstandings</t>
  </si>
  <si>
    <t>&lt;p class="editor-paragraph" dir="ltr"&gt;&lt;b&gt;&lt;strong class="editor-text-bold" style="white-space: pre-wrap;"&gt;FINANCIAL RISK&lt;/strong&gt;&lt;/b&gt;&lt;/p&gt;&lt;p class="editor-paragraph" dir="ltr"&gt;&lt;span style="white-space: pre-wrap;"&gt;It :  La metrica ha l’obiettivo di monitorare il fabbisogno complessivo d liquidità di Agos attraverso l’esposizione totale del portafoglio crediti (retail + corporate) al netto dei debiti nei confronti della clientela (saldi avere).&lt;/span&gt;&lt;/p&gt;&lt;p class="editor-paragraph" dir="ltr"&gt;&lt;span style="white-space: pre-wrap;"&gt;En : The metric aims to monitor Agos' overall liquidity needs through the total exposure of the credit portfolio (retail + corporate) net of debts to customers (credit balances).&lt;/span&gt;&lt;/p&gt;</t>
  </si>
  <si>
    <t>Net Stable Funding Ratio</t>
  </si>
  <si>
    <t>&lt;p class="editor-paragraph" dir="ltr"&gt;&lt;b&gt;&lt;strong class="editor-text-bold" style="white-space: pre-wrap;"&gt;FINANCIAL RISK&lt;/strong&gt;&lt;/b&gt;&lt;/p&gt;&lt;p class="editor-paragraph" dir="ltr"&gt;&lt;span style="white-space: pre-wrap;"&gt;It :  Indicatore di resilienza a medio-lungo termine con lo scopo di monitorare il profilo di provvista stabile di Agos in relazione alla composizione dell’attivo e delle operazioni fuori bilancio. È misurato attraverso il rapporto tra l’ammontare disponibile di provvista stabile (ASF) e quello obbligatorio (RSF) in base alla metodologia regolamentare.&lt;/span&gt;&lt;/p&gt;&lt;p class="editor-paragraph" dir="ltr"&gt;&lt;span style="white-space: pre-wrap;"&gt;En : Medium-long term resilience indicator with the aim of monitoring the stable funding profile of Agos in relation to the composition of assets and off-balance sheet transactions. It is measured through the ratio between the available amount of stable funding (ASF) and the mandatory amount (RSF) based on the regulatory methodology.&lt;/span&gt;&lt;/p&gt;</t>
  </si>
  <si>
    <t>2025-05-26</t>
  </si>
  <si>
    <t>New entries in collection/ regular outstanding (amount version)</t>
  </si>
  <si>
    <t>Regular outstanding (amount version)</t>
  </si>
  <si>
    <t>&lt;p&gt;&lt;strong&gt;OPERATIONAL CREDIT RISK&lt;/strong&gt;&lt;/p&gt;
&lt;p&gt;It : La metrica misura l’ammontare delle pratiche che entrano nel processo di Collection nel mese rispetto all’esposizione totale “regular”.&lt;/p&gt;
&lt;p&gt;En : Amount of files that enter the Collection process in the month compared to the total "regular" exposure.&lt;/p&gt;</t>
  </si>
  <si>
    <t>New entries in collection</t>
  </si>
  <si>
    <t>NPE Backstop</t>
  </si>
  <si>
    <t>&lt;p class="editor-paragraph" dir="ltr"&gt;&lt;b&gt;&lt;strong class="editor-text-bold" style="white-space: pre-wrap;"&gt;RETAIL CREDIT RISK&lt;/strong&gt;&lt;/b&gt;&lt;/p&gt;&lt;p class="editor-paragraph" dir="ltr"&gt;&lt;span style="white-space: pre-wrap;"&gt;It : La metrica monitora il livello di esposizioni Non Performing da più di 3 anni sul sull’esposizione creditizia complessiva lorda (Bucket 1 + Bucket 2 + Bucket 3) (On Balance). &lt;/span&gt;&lt;/p&gt;&lt;p class="editor-paragraph" dir="ltr"&gt;&lt;span style="white-space: pre-wrap;"&gt;Per esposizione creditizia si intende quella contabile lorda, solo On Balance (impego Risk Management, al netto di Sword, Rappel e conti non per per pratica). &lt;/span&gt;&lt;/p&gt;&lt;p class="editor-paragraph"&gt;&lt;span style="white-space: pre-wrap;"&gt; &lt;/span&gt;&lt;/p&gt;&lt;p class="editor-paragraph" dir="ltr"&gt;&lt;span style="white-space: pre-wrap;"&gt;En : The metric monitors the level of Non-Performing exposures for more than 3 years on the overall gross credit exposure (Bucket 1 + Bucket 2 + Bucket 3) (On Balance). &lt;/span&gt;&lt;/p&gt;&lt;p class="editor-paragraph" dir="ltr"&gt;&lt;span style="white-space: pre-wrap;"&gt;Credit exposure means the gross accounting exposure, only On Balance (Risk Management commitment, net of Sword, Rappel and non-practice accounts).&lt;/span&gt;&lt;/p&gt;</t>
  </si>
  <si>
    <t>NPE Coverage Rate</t>
  </si>
  <si>
    <t>&lt;p class="editor-paragraph" dir="ltr"&gt;&lt;b&gt;&lt;strong class="editor-text-bold" style="white-space: pre-wrap;"&gt;RETAIL CREDIT RISK&lt;/strong&gt;&lt;/b&gt;&lt;/p&gt;&lt;p class="editor-paragraph" dir="ltr"&gt;&lt;span style="white-space: pre-wrap;"&gt;It : La metrica monitora la copertura in % delle esposizioni Non Performing &lt;/span&gt;&lt;i&gt;&lt;em class="editor-text-italic" style="white-space: pre-wrap;"&gt; (Bucket 3)&lt;/em&gt;&lt;/i&gt;&lt;span style="white-space: pre-wrap;"&gt; ed è calcolata come rapporto tra il Fondo Svalutazione Crediti classificati come NPE (compreso il Degraded) ed il totale crediti Non Performing. (&lt;/span&gt;&lt;i&gt;&lt;em class="editor-text-italic" style="white-space: pre-wrap;"&gt;On Balance&lt;/em&gt;&lt;/i&gt;&lt;span style="white-space: pre-wrap;"&gt;). &lt;/span&gt;&lt;/p&gt;&lt;p class="editor-paragraph" dir="ltr"&gt;&lt;br/&gt;&lt;span style="white-space: pre-wrap;"&gt;En : The metric monitors the coverage in % of Non-Performing exposures (Bucket 3) and is calculated as the ratio between the Provision for Bad Debt classified as NPE (including Degraded) and total Non-Performing loans (On Balance).&lt;/span&gt;&lt;/p&gt;</t>
  </si>
  <si>
    <t>Copertura Stage 3 On Balance</t>
  </si>
  <si>
    <t>Degraded On Balance</t>
  </si>
  <si>
    <t>NPE Gross Ratio</t>
  </si>
  <si>
    <t>&lt;p class="editor-paragraph" dir="ltr"&gt;&lt;b&gt;&lt;strong class="editor-text-bold" style="white-space: pre-wrap;"&gt;CREDIT RISK&lt;/strong&gt;&lt;/b&gt;&lt;/p&gt;&lt;p class="editor-paragraph" dir="ltr"&gt;&lt;span style="white-space: pre-wrap;"&gt;It : La metrica misura il livello di Non Performing Exposures (NPE) sul totale esposizioni creditizie lorde (Bucket 1 + Bucket 2 + Bucket 3). Per esposizione creditizia si intende quella contabile lorda, solo On Balance, che include Rappel, Sword e conti non per pratica&lt;/span&gt;&lt;br/&gt;&lt;span style="white-space: pre-wrap;"&gt;En : The metric measures the level of Non Performing Exposures (NPE) on the total gross credit exposures (Bucket 1 + Bucket 2 + Bucket 3). Credit exposure means the gross accounting exposure, On Balance only, which includes Rappel, Sword and non-practice accounts.&lt;/span&gt;&lt;/p&gt;</t>
  </si>
  <si>
    <t>NPE Net Ratio</t>
  </si>
  <si>
    <t>&lt;p class="editor-paragraph" dir="ltr"&gt;&lt;b&gt;&lt;strong class="editor-text-bold" style="white-space: pre-wrap;"&gt;CREDIT RISK&lt;/strong&gt;&lt;/b&gt;&lt;/p&gt;&lt;p class="editor-paragraph" dir="ltr"&gt;&lt;span style="white-space: pre-wrap;"&gt;It : La metrica misura il livello di Non Performing Exposures(NPE) al netto delle rettifiche di valore in Bucket 3 (compreso il Degraded) sul totale esposizioni creditizie lorde (Bucket 1 + Bucket 2 + Bucket 3). Per esposizione creditizia si intende quella contabile lorda, solo On Balance, che include Rappel, Sword e conti non per pratica&lt;/span&gt;&lt;/p&gt;&lt;p class="editor-paragraph" dir="ltr"&gt;&lt;span style="white-space: pre-wrap;"&gt;En : The metric measures the level of Non-Performing Exposures (NPE) net of value adjustments in Bucket 3 (including Degraded) on the total gross credit exposures (Bucket 1 + Bucket 2 + Bucket 3). Credit exposure means the gross accounting exposure, On Balance only, which includes Rappel, Sword and non-practice accounts.&lt;/span&gt;&lt;/p&gt;</t>
  </si>
  <si>
    <t>2023-09-04</t>
  </si>
  <si>
    <t>NPS (local Net Promoter Score rolling)</t>
  </si>
  <si>
    <t>Index</t>
  </si>
  <si>
    <t>&lt;p class="editor-paragraph" dir="ltr"&gt;&lt;b&gt;&lt;strong class="editor-text-bold" style="white-space: pre-wrap;"&gt;ESG CLIMATE RISK&lt;/strong&gt;&lt;/b&gt;&lt;/p&gt;&lt;p class="editor-paragraph" dir="ltr"&gt;&lt;span style="white-space: pre-wrap;"&gt;It : La metrica è volta a misurare la fedeltà e la soddisfazione dei clienti di Agos, calcolando un indice dato dalla differenza tra i soggetti promotori e quelli detrattori, dove 100 indica che tutti i clienti sono promotori e -100 che sono tutti detrattori. La suddivisione tra promotori e detrattori si basa sulle risposte alla domanda: “Sulla base della tua esperienza, consiglieresti Agos ad un amico o un parente?”&lt;/span&gt;&lt;/p&gt;&lt;p class="editor-paragraph" dir="ltr"&gt;&lt;span style="white-space: pre-wrap;"&gt;En : The metric is aimed at measuring the loyalty and satisfaction of Agos customers, calculating an index given by the difference between promoters and detractors, where 100 indicates that all customers are promoters and -100 that they are all detractors. The division between promoters and detractors is based on the answers to the question: "Based on your experience, would you recommend Agos to a friend or relative?"&lt;/span&gt;&lt;/p&gt;</t>
  </si>
  <si>
    <t>Number of banks which breach the limit</t>
  </si>
  <si>
    <t>&lt;p&gt;&lt;strong&gt;CONCENTRATION RISK&lt;/strong&gt;&lt;/p&gt;
&lt;p&gt;It : La metrica monitora il numero di esposizioni nei confronti delle banche eccedenti al corrispondente limte Fircom, qualora ve ne siano.&lt;/p&gt;
&lt;p&gt;En : The metric monitors the number of exposures to banks exceeding the corresponding Fircom limit, if any.&lt;/p&gt;</t>
  </si>
  <si>
    <t>Number of counterparties that exceeds 25% of Agos Eligible Capital (Regulatory concentration limits or limits towards related parties)</t>
  </si>
  <si>
    <t>&lt;p class="editor-paragraph" dir="ltr"&gt;&lt;b&gt;&lt;strong class="editor-text-bold" style="white-space: pre-wrap;"&gt;RETAIL CREDIT RISK&lt;/strong&gt;&lt;/b&gt;&lt;/p&gt;&lt;p class="editor-paragraph" dir="ltr"&gt;&lt;span style="white-space: pre-wrap;"&gt;It : La metrica misura il numero di controparti che hanno una esposizione nei confronti di Agos superiore al 25% del Capitale Ammissibile.&lt;/span&gt;&lt;/p&gt;&lt;p class="editor-paragraph" dir="ltr"&gt;&lt;span style="white-space: pre-wrap;"&gt;En : The metric measures the number of counterparties that have an exposure to Agos greater than 25% of the eligible capital.&lt;/span&gt;&lt;/p&gt;</t>
  </si>
  <si>
    <t>Number of Operational Risk alert linked to a climate risk (&gt; 300 k€)</t>
  </si>
  <si>
    <t>&lt;p class="editor-paragraph" dir="ltr"&gt;&lt;b&gt;&lt;strong class="editor-text-bold" style="white-space: pre-wrap;"&gt;CLIMATE RISK&lt;/strong&gt;&lt;/b&gt;&lt;/p&gt;&lt;p class="editor-paragraph" dir="ltr"&gt;&lt;span style="white-space: pre-wrap;"&gt;It : L'indicatore misura il numero di alert emessi legati ad un rischio climatico in grado di causare una perdita superiore a 300 k€.&lt;/span&gt;&lt;/p&gt;&lt;p class="editor-paragraph" dir="ltr"&gt;&lt;span style="white-space: pre-wrap;"&gt;En : The indicator measures the number of alerts issued related to a climate risk capable of causing a loss greater than €300k.&lt;/span&gt;&lt;/p&gt;</t>
  </si>
  <si>
    <t>Number of scorecards not backtested without justification</t>
  </si>
  <si>
    <t>&lt;p&gt;&lt;strong&gt;MODEL RISK&lt;/strong&gt;&lt;/p&gt;
&lt;p&gt;It : La metrica monitora il numero di Scorecards che non sono state “backtestate” senza un giustificato motivo.&lt;/p&gt;
&lt;p&gt;En : The metric monitors the number of Scorecards that have not been “backtested” without a justified reason.&lt;/p&gt;</t>
  </si>
  <si>
    <t>OIRR Sensitivity of the NPV</t>
  </si>
  <si>
    <t>&lt;p&gt;&lt;strong&gt;FINANCIAL RISK&lt;/strong&gt;&lt;/p&gt;
&lt;p&gt;It : Questo indice di rischiosità misura la variazione del Net Present Value della società dovuta ad una variazione parallela della curva dei tassi di interesse pari a 200 bps; tale variazione è calcolata a partire dai gap di rischio tasso, declinati per fasce temporali di esposizione, calcolati secondo la metodologia indicata dalla Capogruppo&lt;/p&gt;
&lt;p&gt;En : This risk index measures the change in the company's Net Present Value due to a parallel change in the interest rate curve equal to 200 bps; this change is calculated starting from the interest rate risk gaps, broken down by exposure time band, calculated according to the methodology indicated by the Parent Company.&lt;/p&gt;</t>
  </si>
  <si>
    <t>Operational Frontier Risk Alert Threshold excl. Fraud (in account. date)</t>
  </si>
  <si>
    <t>&lt;p&gt;&lt;strong&gt;OPERATIONAL RISK&lt;/strong&gt;&lt;/p&gt;
&lt;p&gt;It : La metrica misura l’incidenza percentuale delle perdite operative boundary al netto delle frodi contabilizzate nel trimestre rispetto al margine di intermediazione (Arpege) dello stresso trimestre&lt;/p&gt;
&lt;p&gt;En : The metric measures the percentage incidence of boundary operating losses net of fraud recorded in the quarter compared to the intermediation margin (Arpege) of the same quarter&lt;/p&gt;</t>
  </si>
  <si>
    <t>Operational Risk Alert Threshold (Pure OR + Frontier in account. date)</t>
  </si>
  <si>
    <t>&lt;p&gt;&lt;strong&gt;OPERATIONAL RISK&lt;/strong&gt;&lt;/p&gt;
&lt;p&gt;It : La metrica misura l’incidenza percentuale delle perdite operative totali (pure + boundary) contabilizzate nel trimestre rispetto al margine di intermediazione (Arpege) dello stresso trimestre.&lt;/p&gt;
&lt;p&gt;En : The metric measures the percentage incidence of total operating losses (pure + boundary) recorded in the quarter compared to the intermediation margin (Arpege) of the same quarter.&lt;/p&gt;</t>
  </si>
  <si>
    <t>&lt;p class="editor-paragraph" dir="ltr"&gt;&lt;span style="white-space: pre-wrap;"&gt;It: Altri rischi includono l'accantonamento per controversie legali, per potenziali rischi futuri derivanti da eventi passati e la perdita di una causa legale nei confronti di agenti/rivenditori/clienti&lt;/span&gt;&lt;/p&gt;&lt;p class="editor-paragraph" dir="ltr"&gt;&lt;span style="white-space: pre-wrap;"&gt;En: Other risks include accrual for legal dispute,for potential future risks deriving from past events and loss of a lawsuit towards agents/dealers/customers&lt;/span&gt;&lt;/p&gt;</t>
  </si>
  <si>
    <t>Outstanding Entries in B3 net of Outflows to B1 and B2</t>
  </si>
  <si>
    <t>&lt;p class="editor-paragraph" dir="ltr"&gt;&lt;b&gt;&lt;strong class="editor-text-bold" style="white-space: pre-wrap;"&gt;CREDIT RISK&lt;/strong&gt;&lt;/b&gt;&lt;/p&gt;&lt;p class="editor-paragraph" dir="ltr"&gt;&lt;span style="white-space: pre-wrap;"&gt;It : La metrica monitora i flussi netti Non Performing, al lordo delle cessioni e dei passaggi a perdita, ed è calcolata come tutto ciò che entra in default (Bucket 3) al netto di uscite verso i Bucket 1 e Bucket 2. (On e Off Balance)&lt;/span&gt;&lt;/p&gt;&lt;p class="editor-paragraph" dir="ltr"&gt;&lt;span style="white-space: pre-wrap;"&gt;En : The metric monitors net Non-Performing flows, gross of disposals and write-offs, and is calculated as everything that enters default (Bucket 3) net of outflows to Buckets 1 and Bucket 2. (On and Off Balance)&lt;/span&gt;&lt;/p&gt;&lt;div style=""&gt;&lt;span style="white-space: pre-wrap;"&gt; &lt;/span&gt;&lt;/div&gt;</t>
  </si>
  <si>
    <t>Outstanding IAS (Off Balance)</t>
  </si>
  <si>
    <t>Exit Type 04 - Consolidation</t>
  </si>
  <si>
    <t>KPI Outstanding (Impieghi) [Ctg]</t>
  </si>
  <si>
    <t>&lt;p&gt;It :  &lt;span style="font-family: Calibri;font-size: small;"&gt;&lt;span style="font-size: 11.0pt;line-height: 107.0%;font-family: Calibri , sans-serif;"&gt;Importo fuori bilancio. Ammontare di impegni a erogare consumo, cqs, aperture di credito finstock e fidi non utilizzati carte di credito&lt;/span&gt;&lt;/span&gt; &lt;br/&gt;En : Off balance amount&lt;/p&gt;</t>
  </si>
  <si>
    <t>Entry Type 02 - Postponement</t>
  </si>
  <si>
    <t>Entry Purgatory</t>
  </si>
  <si>
    <t>Exit Probation</t>
  </si>
  <si>
    <t>Exit Purgatory</t>
  </si>
  <si>
    <t>Exit Category C1</t>
  </si>
  <si>
    <t>Exit B2</t>
  </si>
  <si>
    <t>Exit Category C2</t>
  </si>
  <si>
    <t>Exit Performing</t>
  </si>
  <si>
    <t>Exit non performing</t>
  </si>
  <si>
    <t>Entry Type 04 - Consolidation</t>
  </si>
  <si>
    <t>Entry B3</t>
  </si>
  <si>
    <t>Exit Category C3</t>
  </si>
  <si>
    <t>Exit Type 02 - Postponement</t>
  </si>
  <si>
    <t>Exit B3</t>
  </si>
  <si>
    <t>Entry Category C3</t>
  </si>
  <si>
    <t>Entry Performing</t>
  </si>
  <si>
    <t>Entry Category C2</t>
  </si>
  <si>
    <t>Entry Category C1</t>
  </si>
  <si>
    <t>Exit Type 01 - Re-aging</t>
  </si>
  <si>
    <t>Entry B1</t>
  </si>
  <si>
    <t>Entry B2</t>
  </si>
  <si>
    <t>Entry Type 01 - Re-aging</t>
  </si>
  <si>
    <t>Entry Probation</t>
  </si>
  <si>
    <t>Exit Type 03 - Rescheduling</t>
  </si>
  <si>
    <t>Entry non performing</t>
  </si>
  <si>
    <t>Entry Type 03 - Rescheduling</t>
  </si>
  <si>
    <t>Exit B1</t>
  </si>
  <si>
    <t>&lt;p&gt;It : &lt;span style="font-family: Calibri;font-size: small;"&gt;&lt;span style="font-size: 11.0pt;line-height: 107.0%;"&gt;Saldo contabile IAS. Valutazione al costo ammortizzato.             &lt;/span&gt;&lt;/span&gt;&lt;/p&gt;
&lt;p&gt;En : IAS accounting balance. Valuation at amortized cost &lt;/p&gt;</t>
  </si>
  <si>
    <t>Forborne exposure Bucket 3 rate</t>
  </si>
  <si>
    <t>Forborne exposure non performing rate</t>
  </si>
  <si>
    <t>Forborne exposure performing rate</t>
  </si>
  <si>
    <t>Forborne exposure Bucket 2 rate</t>
  </si>
  <si>
    <t>Short Channel Revolving Non Performing Ratio</t>
  </si>
  <si>
    <t>Forborne exposure Bucket 1 rate</t>
  </si>
  <si>
    <t>Share of Bucket 2 in Bucket 1 and Bucket 2 Outstanding</t>
  </si>
  <si>
    <t>Overindebtness new flows</t>
  </si>
  <si>
    <t>Nuove pratiche in entrata</t>
  </si>
  <si>
    <t>&lt;p&gt;&lt;strong&gt;OPERATIONAL CREDIT RISK&lt;/strong&gt;&lt;/p&gt;
&lt;p&gt;It : La metrica monitora il volume totale di nuove pratiche che, nel mese di riferimento, entrano nel processo legale di “Sovraindebitamento” &lt;/p&gt;
&lt;p&gt;En : Total volume of loans entered in the reference month in the legal process of "Over-indebtedness"&lt;/p&gt;</t>
  </si>
  <si>
    <t>Own Funds on Total Internal Capital</t>
  </si>
  <si>
    <t>&lt;p&gt;&lt;strong&gt;SOLVENCY&lt;/strong&gt;&lt;/p&gt;
&lt;p&gt;It: La metrica monitora l’andamento del livello di adeguatezza della dotazione patrimoniale alla copertura dei rischi di primo e secondo pilastro&lt;/p&gt;
&lt;p&gt;En: The metric monitors the trend in the level of adequacy of the capital endowment to cover first and second pillar risks &lt;/p&gt;</t>
  </si>
  <si>
    <t>P1 0.2 - Risk taker entity</t>
  </si>
  <si>
    <t>It: Rappresenta il codice di consolidamento contabile dell'Entità portatrice di rischi nel bilancio di Crédit Agricole S.A.&lt;br/&gt;En: Represents the accounting consolidation code of the Entity bearing risks in the financial statements of Crédit Agricole S.A.</t>
  </si>
  <si>
    <t>Rappresenta il codice di consolidamento contabile dell'Entità portatrice di rischi nel bilancio di Crédit Agricole S.A.</t>
  </si>
  <si>
    <t>P1 1.1 - Local identifier for the counterparty</t>
  </si>
  <si>
    <t>It: ID della controparte esterna nel sistema utilizzato per generare il flusso&lt;br/&gt;En: ID of external counterparty in the system used to generate the flow</t>
  </si>
  <si>
    <t>ID della controparte esterna nel sistema utilizzato per generare il flusso</t>
  </si>
  <si>
    <t>P1 1.2 - Central identifier for the counterparty</t>
  </si>
  <si>
    <t>It: ID della controparte esterna nel sistema informatico della Divisione Risk Management del Gruppo (ovvero ID centrale RICOS)&lt;br/&gt;En: ID of the external counterparty in the Group Risk Management Division IT System (i.e. RICOS central ID)</t>
  </si>
  <si>
    <t>ID della controparte esterna nel sistema informatico della Divisione Risk Management del Gruppo (ovvero ID centrale RICOS)</t>
  </si>
  <si>
    <t>P1 18.10 - Credit Conversion Factor (CCF)</t>
  </si>
  <si>
    <t>It: Porzione intera del CCF
Espresso come %&lt;br/&gt;En: Integer portion of the CCF
Expressed as %</t>
  </si>
  <si>
    <t>Porzione intera del CCF
Espresso come %</t>
  </si>
  <si>
    <t>P1 18.18 - Original currency of contract</t>
  </si>
  <si>
    <t>It: Valuta originaria del contratto&lt;br/&gt;En: Original currency of contract</t>
  </si>
  <si>
    <t>Valuta originaria del contratto</t>
  </si>
  <si>
    <t>P1 18.1 - Loss Given Default (LGD)</t>
  </si>
  <si>
    <t>It: LGD calcolata dall'entità&lt;br/&gt;En: LGD calculated by the entity</t>
  </si>
  <si>
    <t>LGD calcolata dall'entità</t>
  </si>
  <si>
    <t>P1 2.0 - Risk type</t>
  </si>
  <si>
    <t>It: Classificazione delle operazioni in base alla nomenclatura dei rischi&lt;br/&gt;En: Classification of transaction on the basis of the risk nomenclature</t>
  </si>
  <si>
    <t>Classificazione delle operazioni in base alla nomenclatura dei rischi</t>
  </si>
  <si>
    <t>P1 21.7 - Date at which first act of forbearance occurs</t>
  </si>
  <si>
    <t>It: Data del primo evento di gestione delle concessioni&lt;br/&gt;En: Date of first forbearance management event</t>
  </si>
  <si>
    <t>Data del primo evento di gestione delle concessioni</t>
  </si>
  <si>
    <t>P1 2.18 - Basel Transaction Portfolio</t>
  </si>
  <si>
    <t>It: Codice di transazione nel corpus di Basilea&lt;br/&gt;En: Transaction code in Basel corpus</t>
  </si>
  <si>
    <t>Codice di transazione nel corpus di Basilea</t>
  </si>
  <si>
    <t>P1 22.14 - Rate type</t>
  </si>
  <si>
    <t>&lt;p class="editor-paragraph" dir="ltr"&gt;&lt;span style="white-space: pre-wrap;"&gt;It: Indica il tipo di tasso di interesse applicato contrattualmente (tipologia tasso di interesse contrattualmente applicata, il campo segue la codifica di Gruppo LC 0035)&lt;/span&gt;&lt;/p&gt;&lt;p class="editor-paragraph" dir="ltr"&gt;&lt;span style="white-space: pre-wrap;"&gt;En: Indicates the type of interest rate applied contractually (type of interest rate contractually applied, the field follows the Group coding LC 0035)&lt;/span&gt;&lt;/p&gt;</t>
  </si>
  <si>
    <t>Indica il tipo di tasso di interesse applicato contrattualmente (tipologia tasso di interesse contrattualmente applicata, il campo segue la codifica di Gruppo LC 0035)</t>
  </si>
  <si>
    <t>P1 22.15 - Reference index</t>
  </si>
  <si>
    <t>&lt;p class="editor-paragraph" dir="ltr"&gt;&lt;span style="white-space: pre-wrap;"&gt;It: Indice di riferimento per tassi variabili o rivedibili&lt;/span&gt;&lt;/p&gt;&lt;p class="editor-paragraph" dir="ltr"&gt;&lt;span style="white-space: pre-wrap;"&gt;En: Reference index for variable or revisable rates &lt;/span&gt;&lt;/p&gt;</t>
  </si>
  <si>
    <t>Indice di riferimento per tassi variabili o rivedibili</t>
  </si>
  <si>
    <t>P1 22.16 - Amortisation method</t>
  </si>
  <si>
    <t>&lt;p class="editor-paragraph" dir="ltr"&gt;&lt;span style="white-space: pre-wrap;"&gt;It: Tipologia di rimborso del capitale (tipologia di pagamento del capitale, la variabile segue la codifica di Gruppo LC 0218)&lt;/span&gt;&lt;/p&gt;&lt;p class="editor-paragraph" dir="ltr"&gt;&lt;span style="white-space: pre-wrap;"&gt;En: Type of repayment of the principal (type of capital payment, the variable follows the LC 0218 Group coding)&lt;/span&gt;&lt;/p&gt;</t>
  </si>
  <si>
    <t>Tipologia di rimborso del capitale (tipologia di pagamento del capitale, la variabile segue la codifica di Gruppo LC 0218)</t>
  </si>
  <si>
    <t>P1 22.19 - Customer rate</t>
  </si>
  <si>
    <t>&lt;p class="editor-paragraph" dir="ltr"&gt;&lt;span style="white-space: pre-wrap;"&gt;It: Tasso di prestito al cliente (tasso di interesse applicato parte decimale, parte intera, segno)&lt;/span&gt;&lt;/p&gt;&lt;p class="editor-paragraph" dir="ltr"&gt;&lt;span style="white-space: pre-wrap;"&gt;En: Customer lending rate (interest rate applied decimal part, whole part, sign)&lt;/span&gt;&lt;/p&gt;</t>
  </si>
  <si>
    <t>Tasso di prestito al cliente (tasso di interesse applicato parte decimale, parte intera, segno)</t>
  </si>
  <si>
    <t>P1 22.24 - Strike price</t>
  </si>
  <si>
    <t>&lt;p class="editor-paragraph" dir="ltr"&gt;&lt;span style="white-space: pre-wrap;"&gt;It: Valore minimo del tasso di interesse fatturato&lt;/span&gt;&lt;/p&gt;&lt;p class="editor-paragraph" dir="ltr"&gt;&lt;span style="white-space: pre-wrap;"&gt;Espresso in %&lt;/span&gt;&lt;/p&gt;&lt;p class="editor-paragraph" dir="ltr"&gt;&lt;span style="white-space: pre-wrap;"&gt;En: Minimum value of the billed interest rate &lt;/span&gt;&lt;/p&gt;&lt;p class="editor-paragraph" dir="ltr"&gt;&lt;span style="white-space: pre-wrap;"&gt;Expressed as %&lt;/span&gt;&lt;/p&gt;</t>
  </si>
  <si>
    <t>Valore minimo del tasso di interesse fatturato. Espresso in %</t>
  </si>
  <si>
    <t>P1 22.25 - Rate rewiew periodicity</t>
  </si>
  <si>
    <t>&lt;p class="editor-paragraph" dir="ltr"&gt;&lt;span style="white-space: pre-wrap;"&gt;It: La frequenza di revisione di un prestito a tasso variabile è la frequenza di revisione del tasso di interesse del prestito. &lt;/span&gt;&lt;/p&gt;&lt;p class="editor-paragraph" dir="ltr"&gt;&lt;span style="white-space: pre-wrap;"&gt;Viene effettuata una voce per prestiti diversi da quelli a tasso fisso, anche quando il prestito è nell'ultimo periodo (frequenza revisione del tasso di interesse nel caso di applicazione tassi di interesse variabili, il campo segue la codifica di Gruppo LC 0056)&lt;/span&gt;&lt;/p&gt;&lt;p class="editor-paragraph" dir="ltr"&gt;&lt;span style="white-space: pre-wrap;"&gt;En: The review frequency of a variable-rate loan is the loan's interest-rate review frequency. &lt;/span&gt;&lt;/p&gt;&lt;p class="editor-paragraph" dir="ltr"&gt;&lt;span style="white-space: pre-wrap;"&gt;An entry is made for loans other than fixed-rate loans, including when the loan is in the last period (interest rate review frequency in the case of applying variable interest rates, the field follows the LC Group coding 0056)&lt;/span&gt;&lt;/p&gt;&lt;p class="editor-paragraph"&gt;&lt;span style="white-space: pre-wrap;"&gt; &lt;/span&gt;&lt;/p&gt;</t>
  </si>
  <si>
    <t>La frequenza di revisione di un prestito a tasso variabile è la frequenza di revisione del tasso di interesse del prestito. Viene effettuata una voce per prestiti diversi da quelli a tasso fisso, anche quando il prestito è nell'ultimo periodo (frequenza revisione del tasso di interesse nel caso di applicazione tassi di interesse variabili, il campo segue la codifica di Gruppo LC 0056)</t>
  </si>
  <si>
    <t>P1 22.28 - Margin</t>
  </si>
  <si>
    <t>&lt;p class="editor-paragraph" dir="ltr"&gt;&lt;span style="white-space: pre-wrap;"&gt;It: Corrisponde allo spread&lt;/span&gt;&lt;/p&gt;&lt;p class="editor-paragraph" dir="ltr"&gt;&lt;span style="white-space: pre-wrap;"&gt;Margine da aggiungere all'indice per ottenere il tasso di interesse&lt;/span&gt;&lt;/p&gt;&lt;p class="editor-paragraph" dir="ltr"&gt;&lt;span style="white-space: pre-wrap;"&gt;Espresso in %  (spread applicato al tasso indice nel caso di tasso di interesse variabile, parte intera)&lt;/span&gt;&lt;/p&gt;&lt;p class="editor-paragraph" dir="ltr"&gt;&lt;span style="white-space: pre-wrap;"&gt;En: Corresponds to the spread&lt;/span&gt;&lt;/p&gt;&lt;p class="editor-paragraph" dir="ltr"&gt;&lt;span style="white-space: pre-wrap;"&gt;Margin to be added to the index to obtain the interest rate&lt;/span&gt;&lt;/p&gt;&lt;p class="editor-paragraph" dir="ltr"&gt;&lt;span style="white-space: pre-wrap;"&gt;Expressed as % (spread applied to the index rate in the case of a variable interest rate, full part)&lt;/span&gt;&lt;/p&gt;</t>
  </si>
  <si>
    <t>Corrisponde allo spread. Margine da aggiungere all'indice per ottenere il tasso di interesse. Espresso in %  (spread applicato al tasso indice nel caso di tasso di interesse variabile, parte intera)</t>
  </si>
  <si>
    <t>P1 22.34 - Theoretical capital outstanding amount</t>
  </si>
  <si>
    <t>&lt;p class="editor-paragraph" dir="ltr"&gt;&lt;span style="white-space: pre-wrap;"&gt;It: Capitale teorico rimanente dovuto (capitale a scadere, parte decimale, parte intera, segno)&lt;/span&gt;&lt;/p&gt;&lt;p class="editor-paragraph" dir="ltr"&gt;&lt;span style="white-space: pre-wrap;"&gt;En: Theoretical principal remaining due (capital to expire, decimal part, whole part, sign)&lt;/span&gt;&lt;/p&gt;</t>
  </si>
  <si>
    <t>Capitale teorico rimanente dovuto (capitale a scadere, parte decimale, parte intera, segno)</t>
  </si>
  <si>
    <t>P1 22.72 - Bucket IFRS9</t>
  </si>
  <si>
    <t>It: Utilizzato per indicare la classificazione delle consistenze nell'IFRS9&lt;br/&gt;En: Used to indicate the classification of outstanding in IFRS9</t>
  </si>
  <si>
    <t>Utilizzato per indicare la classificazione delle consistenze nell'IFRS9</t>
  </si>
  <si>
    <t>P1 2.29 - Commitment Transaction Nature</t>
  </si>
  <si>
    <t>It: Rappresenta la classificazione delle consistenze in essere sulla base della nomenclatura “NATO” (natura transazione) del Risk and Accounting condiviso del Gruppo CA&lt;br/&gt;En: Represents the classification of outstanding amounts on the basis of the CA Group shared Risk and Accounting "NATO" (transaction nature) nomenclature</t>
  </si>
  <si>
    <t>Rappresenta la classificazione delle consistenze in essere sulla base della nomenclatura “NATO” (natura transazione) del Risk and Accounting condiviso del Gruppo CA</t>
  </si>
  <si>
    <t>P1 31.32 - Value date</t>
  </si>
  <si>
    <t>&lt;p class="editor-paragraph" dir="ltr"&gt;&lt;span style="white-space: pre-wrap;"&gt;It: Data di emissione del titolo detenuto&lt;/span&gt;&lt;/p&gt;&lt;p class="editor-paragraph" dir="ltr"&gt;&lt;span style="white-space: pre-wrap;"&gt;En: Issuance date of the security held&lt;/span&gt;&lt;/p&gt;</t>
  </si>
  <si>
    <t>Data di emissione del titolo detenuto</t>
  </si>
  <si>
    <t>2025-04-30</t>
  </si>
  <si>
    <t>P1 3.2 - Purchase date</t>
  </si>
  <si>
    <t>&lt;p class="editor-paragraph" dir="ltr"&gt;&lt;span style="white-space: pre-wrap;"&gt;It: Data di inizio del contratto&lt;/span&gt;&lt;/p&gt;&lt;p class="editor-paragraph" dir="ltr"&gt;&lt;span style="white-space: pre-wrap;"&gt;En: Contract's inception date &lt;/span&gt;&lt;/p&gt;</t>
  </si>
  <si>
    <t>Data di inizio del contratto</t>
  </si>
  <si>
    <t>P1 3.3 - Value date</t>
  </si>
  <si>
    <t>&lt;p class="editor-paragraph" dir="ltr"&gt;&lt;span style="white-space: pre-wrap;"&gt;It: La data di entrata in vigore del contratto dei fondi in uso&lt;/span&gt;&lt;/p&gt;&lt;p class="editor-paragraph" dir="ltr"&gt;&lt;span style="white-space: pre-wrap;"&gt;En: The effective date of the funds in use contract&lt;/span&gt;&lt;/p&gt;</t>
  </si>
  <si>
    <t>La data di entrata in vigore del contratto dei fondi in uso</t>
  </si>
  <si>
    <t>P1 3.4 - End date of commitment</t>
  </si>
  <si>
    <t>It: Data di scadenza contrattuale&lt;br/&gt;En: Contractual due date</t>
  </si>
  <si>
    <t>Data di scadenza contrattuale</t>
  </si>
  <si>
    <t>P1 3.52 - Mark to market</t>
  </si>
  <si>
    <t>It: Il fair value è definito come il prezzo che si percepirebbe per la vendita di un'attività o che si pagherebbe per il trasferimento di una passività in una normale operazione tra partecipanti al mercato alla data di valutazione.
Il prezzo di riferimento del fair value è un prezzo di output direttamente osservabile sul mercato o stimato utilizzando una tecnica di valutazione che massimizza l'utilizzo di dati osservabili: prezzo quotato, prezzo osservabile indirettamente, altri dati di mercato
Il prezzo direttamente osservabile corrisponde al prezzo lato strumento che è immediatamente osservabile sul mercato&lt;br/&gt;En: Fair value is defined as the price that would be received for the sale of an asset or paid for the transfer of a liability in a normal transaction between market participants at the valuation date.
The fair value reference price is an output price that is directly observable in the market or estimated using a valuation technique that maximizes the use of observable data: quoted price, indirectly observable price, other market data
The directly observable price corresponds to the price on the instrument side which is immediately observable on the market</t>
  </si>
  <si>
    <t>Il fair value è definito come il prezzo che si percepirebbe per la vendita di un'attività o che si pagherebbe per il trasferimento di una passività in una normale operazione tra partecipanti al mercato alla data di valutazione.
Il prezzo di riferimento del fair value è un prezzo di output direttamente osservabile sul mercato o stimato utilizzando una tecnica di valutazione che massimizza l'utilizzo di dati osservabili: prezzo quotato, prezzo osservabile indirettamente, altri dati di mercato
Il prezzo direttamente osservabile corrisponde al prezzo lato strumento che è immediatamente osservabile sul mercato</t>
  </si>
  <si>
    <t>P1 3.80 - Gross Mark to market</t>
  </si>
  <si>
    <t>P1 4.8 - On/Off balance-sheet flag</t>
  </si>
  <si>
    <t>It: Flag di bilancio On (B) /Off (H).&lt;br/&gt;En: On (B) /Off (H) balance-sheet flag</t>
  </si>
  <si>
    <t>Flag di bilancio On (B) /Off (H).</t>
  </si>
  <si>
    <t>P1 4.9 - Amount of principal outstanding</t>
  </si>
  <si>
    <t>&lt;p&gt;IT: Importo del saldo residuo della quota capitale del prestito vs banche in essere alla data di osservazione&lt;/p&gt;
&lt;p&gt;EN:Remaining on balance of the principal amount of the loan outstanding vs banks at the date of observation&lt;/p&gt;
&lt;p&gt; &lt;/p&gt;</t>
  </si>
  <si>
    <t xml:space="preserve">Importo del saldo residuo della quota capitale del prestito vs banche in essere alla data di osservazione 
   </t>
  </si>
  <si>
    <t>2024-02-19</t>
  </si>
  <si>
    <t>P1 5.2 - Doubtful Commitment Indicator</t>
  </si>
  <si>
    <t>It: Indicatore che consente di specificare se l'operazione è stata riconosciuta come impegno dubbio&lt;br/&gt;En: Indicator making it possible to specify if the transaction has been recognised as a doubtful commitment</t>
  </si>
  <si>
    <t>Indicatore che consente di specificare se l'operazione è stata riconosciuta come impegno dubbio</t>
  </si>
  <si>
    <t>P1 5.5 - Payment arrears indicator</t>
  </si>
  <si>
    <t>It: Indicatore che consente di specificare se l'importo segnalato è arretrato (gli arretrati di pagamento iniziano con il primo incidente di pagamento)&lt;br/&gt;En: Indicator making it possible to specify if the amount reported is an arrears (payment arrears begin with the first payment incident)</t>
  </si>
  <si>
    <t>Indicatore che consente di specificare se l'importo segnalato è arretrato (gli arretrati di pagamento iniziano con il primo incidente di pagamento)</t>
  </si>
  <si>
    <t>P3C 22.15 - Reference index</t>
  </si>
  <si>
    <t xml:space="preserve">RRF Contracts </t>
  </si>
  <si>
    <t>&lt;p class="editor-paragraph" dir="ltr"&gt;&lt;span style="white-space: pre-wrap;"&gt;It: Obbligatorio per tasso variabile&lt;/span&gt;&lt;/p&gt;&lt;p class="editor-paragraph" dir="ltr"&gt;&lt;span style="white-space: pre-wrap;"&gt;En: Mandatory for variable rate &lt;/span&gt;&lt;/p&gt;</t>
  </si>
  <si>
    <t>Obbligatorio per tasso variabile</t>
  </si>
  <si>
    <t>P3C 22.16 - Amortisation method</t>
  </si>
  <si>
    <t>&lt;p class="editor-paragraph" dir="ltr"&gt;&lt;span style="white-space: pre-wrap;"&gt;It: Esempio di tipo di rimborso del capitale:&lt;/span&gt;&lt;/p&gt;&lt;ul class="editor-list-ul"&gt;&lt;li class="editor-listitem" dir="ltr" value="1"&gt;&lt;span style="white-space: pre-wrap;"&gt;Annualità: la rata è costante fino alla scadenza del contratto (annualità costante). La modalità principale utilizzata per i prestiti a tasso fisso standard (leasing, prestito personale e prestito rateale, ecc.)&lt;/span&gt;&lt;/li&gt;&lt;li class="editor-listitem" dir="ltr" value="2"&gt;&lt;span style="white-space: pre-wrap;"&gt;In fine: il prestito/capitale viene rimborsato alla fine del contratto (in fine) - ad esempio per i titoli di debito&lt;/span&gt;&lt;/li&gt;&lt;li class="editor-listitem" dir="ltr" value="3"&gt;&lt;span style="white-space: pre-wrap;"&gt;Lineare: l'importo del capitale residuo ammortizzato è costante fino alla scadenza del contratto&lt;/span&gt;&lt;/li&gt;&lt;li class="editor-listitem" dir="ltr" value="4"&gt;&lt;span style="white-space: pre-wrap;"&gt;Altro: altre metodologie di ammortamento&lt;/span&gt;&lt;/li&gt;&lt;/ul&gt;&lt;p class="editor-paragraph"&gt;&lt;br/&gt;&lt;/p&gt;&lt;p class="editor-paragraph" dir="ltr"&gt;&lt;span style="white-space: pre-wrap;"&gt;En: Example of Type of repayment of the principal:&lt;/span&gt;&lt;/p&gt;&lt;ul class="editor-list-ul"&gt;&lt;li class="editor-listitem" dir="ltr" value="1"&gt;&lt;span style="white-space: pre-wrap;"&gt;Annuity :   The installement is constant until the maturty of the contract (constant annuity). The main modality used for the standard credit loan  (leasing, personnal loan and installement loan …)&lt;/span&gt;&lt;/li&gt;&lt;li class="editor-listitem" dir="ltr" value="2"&gt;&lt;span style="white-space: pre-wrap;"&gt;In fine :  The loan/capital is repayed at the end of the contract ( in fine) - For debt securities for instance&lt;/span&gt;&lt;/li&gt;&lt;li class="editor-listitem" dir="ltr" value="3"&gt;&lt;span style="white-space: pre-wrap;"&gt; Linear : The amount of Capital Remaining Due amortizated is constant  until the maturity of the contract &lt;/span&gt;&lt;/li&gt;&lt;li class="editor-listitem" dir="ltr" value="4"&gt;&lt;span style="white-space: pre-wrap;"&gt;Other : Others amortization methodology&lt;/span&gt;&lt;/li&gt;&lt;/ul&gt;</t>
  </si>
  <si>
    <t>Esempio di tipo di rimborso del capitale:  Annualità: la rata è costante fino alla scadenza del contratto (annualità costante). La modalità principale utilizzata per i prestiti a tasso fisso standard (leasing, prestito personale e prestito rateale, ecc.). In fine: il prestito/capitale viene rimborsato alla fine del contratto (in fine) - ad esempio per i titoli di debito. Lineare: l'importo del capitale residuo ammortizzato è costante fino alla scadenza del contratto. Altro: altre metodologie di ammortamento</t>
  </si>
  <si>
    <t>P3C 22.19 - Customer rate</t>
  </si>
  <si>
    <t>&lt;p class="editor-paragraph" dir="ltr"&gt;&lt;span style="white-space: pre-wrap;"&gt;It: Corrisponde al tasso fisso o variabile del cliente alla data di concessione&lt;/span&gt;&lt;/p&gt;&lt;p class="editor-paragraph" dir="ltr"&gt;&lt;span style="white-space: pre-wrap;"&gt;En: Corresponds fix or changing rate of the customer at the date granted date&lt;/span&gt;&lt;/p&gt;</t>
  </si>
  <si>
    <t>Corrisponde al tasso fisso o variabile del cliente alla data di concessione</t>
  </si>
  <si>
    <t>P3C 22.24 - Strike price</t>
  </si>
  <si>
    <t>&lt;p class="editor-paragraph" dir="ltr"&gt;&lt;span style="white-space: pre-wrap;"&gt;It: Tariffa Minima&lt;/span&gt;&lt;/p&gt;&lt;p class="editor-paragraph" dir="ltr"&gt;&lt;span style="white-space: pre-wrap;"&gt;En: Floor rate&lt;/span&gt;&lt;/p&gt;</t>
  </si>
  <si>
    <t>Tariffa Minima</t>
  </si>
  <si>
    <t>P3C 22.25 - Rate rewiew periodicity</t>
  </si>
  <si>
    <t>&lt;p class="editor-paragraph" dir="ltr"&gt;&lt;span style="white-space: pre-wrap;"&gt;It: La periodicità di revisione di un prestito a tasso variabile è la frequenza di revisione del tasso del prestito. &lt;/span&gt;&lt;/p&gt;&lt;p class="editor-paragraph" dir="ltr"&gt;&lt;span style="white-space: pre-wrap;"&gt;Deve essere fornita per i prestiti diversi da quelli a tasso fisso, anche quando il prestito è in scadenza nell'ultimo periodo.&lt;/span&gt;&lt;/p&gt;&lt;p class="editor-paragraph" dir="ltr"&gt;&lt;span style="white-space: pre-wrap;"&gt;Valori attesi: A; S; T; D. Q; M; N&lt;/span&gt;&lt;/p&gt;&lt;p class="editor-paragraph"&gt;&lt;br/&gt;&lt;/p&gt;&lt;p class="editor-paragraph" dir="ltr"&gt;&lt;span style="white-space: pre-wrap;"&gt;En: The periodicity of revision of a variable-rate loan is the frequency of revision of the rate of the loan. &lt;/span&gt;&lt;/p&gt;&lt;p class="editor-paragraph" dir="ltr"&gt;&lt;span style="white-space: pre-wrap;"&gt;She(it) is to inform for the loans other than fixed-rate loans, including when the loan is over the last period.&lt;/span&gt;&lt;/p&gt;&lt;p class="editor-paragraph" dir="ltr"&gt;&lt;span style="white-space: pre-wrap;"&gt;Expected values : A ; S ;T; D. Q ; M ; N &lt;/span&gt;&lt;/p&gt;&lt;p class="editor-paragraph" dir="ltr"&gt;&lt;br/&gt;&lt;/p&gt;</t>
  </si>
  <si>
    <t>La periodicità di revisione di un prestito a tasso variabile è la frequenza di revisione del tasso del prestito. Deve essere fornita per i prestiti diversi da quelli a tasso fisso, anche quando il prestito è in scadenza nell'ultimo periodo. Valori attesi: A; S; T; D. Q; M; N</t>
  </si>
  <si>
    <t>P3C 22.28 - Margin rate</t>
  </si>
  <si>
    <t>&lt;p class="editor-paragraph" dir="ltr"&gt;&lt;span style="white-space: pre-wrap;"&gt;It: Tasso di margine come supplemento all'indice di riferimento&lt;/span&gt;&lt;/p&gt;&lt;p class="editor-paragraph" dir="ltr"&gt;&lt;span style="white-space: pre-wrap;"&gt;Obbligatorio per i tassi variabili IFRS9 Espresso in %: importo firmato con 5 decimali senza separatore "&lt;/span&gt;&lt;/p&gt;&lt;p class="editor-paragraph" dir="ltr"&gt;&lt;br/&gt;&lt;/p&gt;&lt;p class="editor-paragraph" dir="ltr"&gt;&lt;span style="white-space: pre-wrap;"&gt;En: Margin rate as a supplement to the benchmark index&lt;/span&gt;&lt;/p&gt;&lt;p class="editor-paragraph" dir="ltr"&gt;&lt;span style="white-space: pre-wrap;"&gt;Mandatory for adjustable rates IFRS9 Expressed in %: amount signed with 5 decimals without separator "&lt;/span&gt;&lt;/p&gt;</t>
  </si>
  <si>
    <t>Tasso di margine come supplemento all'indice di riferimento. Obbligatorio per i tassi variabili IFRS9 Espresso in %: importo firmato con 5 decimali senza separatore "</t>
  </si>
  <si>
    <t>P3C 22.34 - Theoretical capital outstanding amount</t>
  </si>
  <si>
    <t>&lt;p class="editor-paragraph" dir="ltr"&gt;&lt;span style="white-space: pre-wrap;"&gt;It: Corrisponde al capitale teorico residuo dovuto sui prestiti (non tiene conto degli arretrati di pagamento)&lt;/span&gt;&lt;/p&gt;&lt;p class="editor-paragraph" dir="ltr"&gt;&lt;span style="white-space: pre-wrap;"&gt;Frequenza/periodicità di un evento&lt;/span&gt;&lt;/p&gt;&lt;p class="editor-paragraph" dir="ltr"&gt;&lt;br/&gt;&lt;/p&gt;&lt;p class="editor-paragraph" dir="ltr"&gt;&lt;span style="white-space: pre-wrap;"&gt;En: Corresponds to the theoretical principal remaining due on loans (does not take into account payment arrears)&lt;/span&gt;&lt;/p&gt;&lt;p class="editor-paragraph" dir="ltr"&gt;&lt;span style="white-space: pre-wrap;"&gt;Frequency / periodicity for an event&lt;/span&gt;&lt;/p&gt;</t>
  </si>
  <si>
    <t>Corrisponde al capitale teorico residuo dovuto sui prestiti (non tiene conto degli arretrati di pagamento). Frequenza/periodicità di un evento</t>
  </si>
  <si>
    <t>P3C 22.81 - Maturity date</t>
  </si>
  <si>
    <t>&lt;p class="editor-paragraph" dir="ltr"&gt;&lt;span style="white-space: pre-wrap;"&gt;It: Data prevista &lt;/span&gt;&lt;span style="background-color: rgb(250,250,250);white-space: pre-wrap;"&gt;di &lt;/span&gt;&lt;span style="white-space: pre-wrap;"&gt;fine del contratto&lt;/span&gt;&lt;/p&gt;&lt;p class="editor-paragraph" dir="ltr"&gt;&lt;span style="white-space: pre-wrap;"&gt;En: Expected end date of the contract&lt;/span&gt;&lt;/p&gt;</t>
  </si>
  <si>
    <t>Data prevista fine del contratto</t>
  </si>
  <si>
    <t>P3C 3.2 - Purchase date</t>
  </si>
  <si>
    <t>Data di inizio contrattuale dell'impegno fuori bilancio</t>
  </si>
  <si>
    <t>P3C 3.4 - Maturity date</t>
  </si>
  <si>
    <t>&lt;p class="editor-paragraph" dir="ltr"&gt;&lt;span style="white-space: pre-wrap;"&gt;It: La data di fine del contratto di impegno è la data di fine dell'impegno fuori bilancio quando una quota viene utilizzata.&lt;/span&gt;&lt;/p&gt;&lt;p class="editor-paragraph" dir="ltr"&gt;&lt;span style="white-space: pre-wrap;"&gt;En: Commitments contractual end date is the off balance-sheet commitment end date when a portion is drawn down.&lt;/span&gt;&lt;/p&gt;</t>
  </si>
  <si>
    <t>La data di fine del contratto di impegno è la data di fine dell'impegno fuori bilancio quando una quota viene utilizzata.&lt;</t>
  </si>
  <si>
    <t>P3C 8.11 - Rate type</t>
  </si>
  <si>
    <t>&lt;p class="editor-paragraph" dir="ltr"&gt;&lt;span style="white-space: pre-wrap;"&gt;It: Tipo di tasso fisso, variabile...&lt;/span&gt;&lt;/p&gt;&lt;p class="editor-paragraph" dir="ltr"&gt;&lt;span style="white-space: pre-wrap;"&gt;En: Rate type fixed, variable...&lt;/span&gt;&lt;/p&gt;</t>
  </si>
  <si>
    <t xml:space="preserve">Tipo di tasso fisso, variabile...   </t>
  </si>
  <si>
    <t>P5 8.11 - Rate type</t>
  </si>
  <si>
    <t>&lt;p class="editor-paragraph" dir="ltr"&gt;&lt;span style="white-space: pre-wrap;"&gt;It:  Indica il tipo di tasso di interesse applicato contrattualmente- (tipologia tasso di interesse contrattualmente applicata, il campo segue la codifica di Gruppo LC 0035)&lt;/span&gt;&lt;/p&gt;&lt;p class="editor-paragraph" dir="ltr"&gt;&lt;span style="white-space: pre-wrap;"&gt;En: Indicates the type of interest rate applied contractually (type of interest rate contractually applied, the field follows the Group coding LC 0035)&lt;/span&gt;&lt;/p&gt;</t>
  </si>
  <si>
    <t>P9 3.2 - Amount of the provision haircut</t>
  </si>
  <si>
    <t>It: Importo del provvedimento
  taglio di capelli&lt;br/&gt;En: Amount of the provision 
 haircut</t>
  </si>
  <si>
    <t>Importo del provvedimento
  taglio di capelli</t>
  </si>
  <si>
    <t>PEDT 153 - Strike price</t>
  </si>
  <si>
    <t>PEDT - Liability flows</t>
  </si>
  <si>
    <t>&lt;p class="editor-paragraph" dir="ltr"&gt;&lt;span style="white-space: pre-wrap;"&gt;It: Tariffa minima&lt;/span&gt;&lt;/p&gt;&lt;p class="editor-paragraph" dir="ltr"&gt;&lt;span style="white-space: pre-wrap;"&gt;En: Rate floor&lt;/span&gt;&lt;/p&gt;</t>
  </si>
  <si>
    <t>Tariffa minima</t>
  </si>
  <si>
    <t>PEDT 29 - Purchase date</t>
  </si>
  <si>
    <t>&lt;p class="editor-paragraph" dir="ltr"&gt;&lt;span style="white-space: pre-wrap;"&gt;It: Data emissione.&lt;/span&gt;&lt;/p&gt;&lt;p class="editor-paragraph" dir="ltr"&gt;&lt;span style="white-space: pre-wrap;"&gt;En: Date of issue.&lt;/span&gt;&lt;/p&gt;</t>
  </si>
  <si>
    <t>Data emissione.</t>
  </si>
  <si>
    <t>PEDT 2 - Product code</t>
  </si>
  <si>
    <t>&lt;p class="editor-paragraph" dir="ltr"&gt;&lt;span style="white-space: pre-wrap;"&gt;It: Codice prodotto&lt;/span&gt;&lt;/p&gt;&lt;p class="editor-paragraph" dir="ltr"&gt;&lt;span style="white-space: pre-wrap;"&gt;inserire "TITPATIT "TITOBLIG"&lt;/span&gt;&lt;/p&gt;&lt;p class="editor-paragraph" dir="ltr"&gt;&lt;span style="white-space: pre-wrap;"&gt;En: Product code &lt;/span&gt;&lt;/p&gt;&lt;p class="editor-paragraph" dir="ltr"&gt;&lt;span style="white-space: pre-wrap;"&gt;enter  "TITPATIT "TITOBLIG"&lt;/span&gt;&lt;/p&gt;</t>
  </si>
  <si>
    <t>Codice prodotto inserire "TITPATIT "TITOBLIG"</t>
  </si>
  <si>
    <t>PEDT 30 - Value date</t>
  </si>
  <si>
    <t>&lt;p class="editor-paragraph" dir="ltr"&gt;&lt;span style="white-space: pre-wrap;"&gt;It: Data emissione. Inizo validità del titolo&lt;/span&gt;&lt;/p&gt;&lt;p class="editor-paragraph" dir="ltr"&gt;&lt;span style="white-space: pre-wrap;"&gt;FWZZ, scheda "Dati di Base"  =&amp;gt; "inizio emiss."&lt;/span&gt;&lt;/p&gt;&lt;p class="editor-paragraph"&gt;&lt;br/&gt;&lt;/p&gt;&lt;p class="editor-paragraph" dir="ltr"&gt;&lt;span style="white-space: pre-wrap;"&gt;En: Date of issue. Start of validity of the title&lt;/span&gt;&lt;/p&gt;&lt;p class="editor-paragraph" dir="ltr"&gt;&lt;span style="white-space: pre-wrap;"&gt;FWZZ, "Basic Data" tab =&amp;gt; "start of issue."&lt;/span&gt;&lt;/p&gt;</t>
  </si>
  <si>
    <t>Data emissione. Inizo validità del titolo FWZZ, scheda "Dati di Base"  =&amp;gt; "inizio emiss."</t>
  </si>
  <si>
    <t>PEDT 31 - Maturity date</t>
  </si>
  <si>
    <t>&lt;p class="editor-paragraph" dir="ltr"&gt;&lt;span style="white-space: pre-wrap;"&gt;It: Data fine validità (data ultimo rimborso) presente nei "dati di base" del titolo&lt;/span&gt;&lt;/p&gt;&lt;p class="editor-paragraph" dir="ltr"&gt;&lt;span style="white-space: pre-wrap;"&gt;En: Validity end date (last refund date) present in the "basic data" of the title&lt;/span&gt;&lt;/p&gt;</t>
  </si>
  <si>
    <t>Data fine validità (data ultimo rimborso) presente nei "dati di base" del titolo</t>
  </si>
  <si>
    <t>PEDT 62 - Rate type</t>
  </si>
  <si>
    <t>&lt;p class="editor-paragraph" dir="ltr"&gt;&lt;span style="white-space: pre-wrap;"&gt;It: Tipo di tasso del titolo&lt;/span&gt;&lt;/p&gt;&lt;ul class="editor-list-ul"&gt;&lt;li class="editor-listitem" dir="ltr" value="1"&gt;&lt;span style="white-space: pre-wrap;"&gt;F Titolo con Tasso Fisso &lt;/span&gt;&lt;/li&gt;&lt;li class="editor-listitem" dir="ltr" value="2"&gt;&lt;span style="white-space: pre-wrap;"&gt;R Titolo con Tasso Variabile&lt;/span&gt;&lt;/li&gt;&lt;/ul&gt;&lt;p class="editor-paragraph"&gt;&lt;br/&gt;&lt;/p&gt;&lt;p class="editor-paragraph" dir="ltr"&gt;&lt;span style="white-space: pre-wrap;"&gt;En: Type of rate of the security&lt;/span&gt;&lt;/p&gt;&lt;ul class="editor-list-ul"&gt;&lt;li class="editor-listitem" dir="ltr" value="1"&gt;&lt;span style="white-space: pre-wrap;"&gt;F Fixed Rate Security&lt;/span&gt;&lt;/li&gt;&lt;li class="editor-listitem" dir="ltr" value="2"&gt;&lt;span style="white-space: pre-wrap;"&gt;R Variable Rate Security&lt;/span&gt;&lt;/li&gt;&lt;/ul&gt;</t>
  </si>
  <si>
    <t>Tipo di tasso del titolo F Titolo con Tasso Fisso R Titolo con Tasso Variabile</t>
  </si>
  <si>
    <t>PEDT 65 - Reference index</t>
  </si>
  <si>
    <t>&lt;p class="editor-paragraph" dir="ltr"&gt;&lt;span style="white-space: pre-wrap;"&gt;it: Codice tasso interesse di riferimento&lt;/span&gt;&lt;/p&gt;&lt;p class="editor-paragraph" dir="ltr"&gt;&lt;span style="white-space: pre-wrap;"&gt;En: Index code&lt;/span&gt;&lt;/p&gt;</t>
  </si>
  <si>
    <t>Codice tasso interesse di riferimento</t>
  </si>
  <si>
    <t>PEDT 69 - Rate rewiew periodicity</t>
  </si>
  <si>
    <t>&lt;p class="editor-paragraph" dir="ltr"&gt;&lt;span style="white-space: pre-wrap;"&gt;It: Periodicità del rimborso : se PEDT 62 = R (tasso variabile) dall’anagrafica del titolo.  &lt;/span&gt;&lt;/p&gt;&lt;p class="editor-paragraph" dir="ltr"&gt;&lt;span style="white-space: pre-wrap;"&gt;Tab “Condizioni” =&amp;gt; “Piano di Rimborso” =&amp;gt; “Frequenza” e leggere il valore riportato. &lt;/span&gt;&lt;/p&gt;&lt;p class="editor-paragraph" dir="ltr"&gt;&lt;span style="white-space: pre-wrap;"&gt;Se mensile allora inserire “05” . &lt;/span&gt;&lt;/p&gt;&lt;p class="editor-paragraph" dir="ltr"&gt;&lt;span style="white-space: pre-wrap;"&gt;Se trimestrale, inserire “06”. &lt;/span&gt;&lt;/p&gt;&lt;p class="editor-paragraph" dir="ltr"&gt;&lt;span style="white-space: pre-wrap;"&gt;Se è semestrale "07" .  &lt;/span&gt;&lt;/p&gt;&lt;p class="editor-paragraph" dir="ltr"&gt;&lt;span style="white-space: pre-wrap;"&gt;Negli altri casi ="Blank"&lt;/span&gt;&lt;/p&gt;&lt;p class="editor-paragraph"&gt;&lt;br/&gt;&lt;/p&gt;&lt;p class="editor-paragraph" dir="ltr"&gt;&lt;span style="white-space: pre-wrap;"&gt;En: En: Repayment frequency: if PEDT 62 = R (variable rate) from the title master data.&lt;/span&gt;&lt;/p&gt;&lt;p class="editor-paragraph" dir="ltr"&gt;&lt;span style="white-space: pre-wrap;"&gt;Tab “Conditions” =&amp;gt; “Repayment Plan” =&amp;gt; “Frequency” and read the value shown.&lt;/span&gt;&lt;/p&gt;&lt;p class="editor-paragraph" dir="ltr"&gt;&lt;span style="white-space: pre-wrap;"&gt;If monthly then enter “05” .&lt;/span&gt;&lt;/p&gt;&lt;p class="editor-paragraph" dir="ltr"&gt;&lt;span style="white-space: pre-wrap;"&gt;If quarterly, enter “06”.&lt;/span&gt;&lt;/p&gt;&lt;p class="editor-paragraph" dir="ltr"&gt;&lt;span style="white-space: pre-wrap;"&gt;If half-yearly "07" .&lt;/span&gt;&lt;/p&gt;&lt;p class="editor-paragraph" dir="ltr"&gt;&lt;span style="white-space: pre-wrap;"&gt;In other cases ="Blank"&lt;/span&gt;&lt;/p&gt;</t>
  </si>
  <si>
    <t>Periodicità del rimborso : se PEDT 62 = R (tasso variabile) dall’anagrafica del titolo.  Tab “Condizioni” =&amp;gt; “Piano di Rimborso” =&amp;gt; “Frequenza” e leggere il valore riportato. Se mensile allora inserire “05” . Se trimestrale, inserire “06”. Se è semestrale "07" .  Negli altri casi ="Blank"</t>
  </si>
  <si>
    <t>PEDT 70 - Rate review periodicity</t>
  </si>
  <si>
    <t>PEDT 71 - Margin</t>
  </si>
  <si>
    <t>&lt;p class="editor-paragraph" dir="ltr"&gt;&lt;span style="white-space: pre-wrap;"&gt;It: Nel campo si riporta lo spread (margine additivo) per i soli titoli a tasso variabile. Nei titoli a tasso fisso lo spread non c'è&lt;/span&gt;&lt;/p&gt;&lt;p class="editor-paragraph" dir="ltr"&gt;&lt;span style="white-space: pre-wrap;"&gt;PKOND da tabella VZZKOPA (consultata alla data di osservazione)&lt;/span&gt;&lt;/p&gt;&lt;p class="editor-paragraph"&gt;&lt;br/&gt;&lt;/p&gt;&lt;p class="editor-paragraph" dir="ltr"&gt;&lt;span style="white-space: pre-wrap;"&gt;En: The field reports the spread (additive margin) for floating rate securities only. There is no spread for fixed rate securities&lt;/span&gt;&lt;/p&gt;&lt;p class="editor-paragraph" dir="ltr"&gt;&lt;span style="white-space: pre-wrap;"&gt;PKOND from VZZKOPA table (consulted on the observation date)&lt;/span&gt;&lt;/p&gt;</t>
  </si>
  <si>
    <t>Nel campo si riporta lo spread (margine additivo) per i soli titoli a tasso variabile. Nei titoli a tasso fisso lo spread non c'è PKOND da tabella VZZKOPA (consultata alla data di osservazione)</t>
  </si>
  <si>
    <t>PEDT 81 - Amortisation method</t>
  </si>
  <si>
    <t>&lt;p class="editor-paragraph" dir="ltr"&gt;&lt;span style="white-space: pre-wrap;"&gt;It: Tipo Ammortamento Fisso  = "O"&lt;/span&gt;&lt;/p&gt;&lt;p class="editor-paragraph" dir="ltr"&gt;&lt;span style="white-space: pre-wrap;"&gt;En: Fixed Depreciation Type = "O"&lt;/span&gt;&lt;/p&gt;</t>
  </si>
  <si>
    <t>Tipo Ammortamento Fisso  = "O"</t>
  </si>
  <si>
    <t>PEMP 147 - Rate type</t>
  </si>
  <si>
    <t>PEMP - Liability flows</t>
  </si>
  <si>
    <t>Tipo di tasso del finanziamento. Se "Tipo prodotto" = 51 =&amp;gt; Fin tasso fisso = "F" . Se "Tipo prodotto" = 55 =&amp;gt; Fin tasso variabile = "R"</t>
  </si>
  <si>
    <t>PEMP 148 - Reference index</t>
  </si>
  <si>
    <t>&lt;p class="editor-paragraph" dir="ltr"&gt;&lt;span style="white-space: pre-wrap;"&gt;It: Indica il tasso di indice dell'operazione quando è variabile o regolabile&lt;/span&gt;&lt;/p&gt;&lt;p class="editor-paragraph" dir="ltr"&gt;&lt;span style="white-space: pre-wrap;"&gt;En: Indicates the index rate of the deal when floating or adjustable&lt;/span&gt;&lt;/p&gt;</t>
  </si>
  <si>
    <t>Indica il tasso di indice dell'operazione quando è variabile o regolabile</t>
  </si>
  <si>
    <t>PEMP 151 - Rate next review date</t>
  </si>
  <si>
    <t>&lt;p class="editor-paragraph" dir="ltr"&gt;&lt;span style="white-space: pre-wrap;"&gt;It: Data della prossima revisione del tasso di interesse&lt;/span&gt;&lt;/p&gt;&lt;p class="editor-paragraph" dir="ltr"&gt;&lt;span style="white-space: pre-wrap;"&gt;Da tabella VTBHAPO prendo la data interessi successiva alla data osservazione&lt;/span&gt;&lt;/p&gt;&lt;p class="editor-paragraph" dir="ltr"&gt;&lt;span style="white-space: pre-wrap;"&gt;Se la data è &amp;gt;= a fine validità mettere blank&lt;/span&gt;&lt;/p&gt;&lt;p class="editor-paragraph" dir="ltr"&gt;&lt;br/&gt;&lt;/p&gt;&lt;p class="editor-paragraph" dir="ltr"&gt;&lt;span style="white-space: pre-wrap;"&gt;En: Date of the next interest rate review&lt;/span&gt;&lt;/p&gt;&lt;p class="editor-paragraph" dir="ltr"&gt;&lt;span style="white-space: pre-wrap;"&gt;From the VTBHAPO table I take the interest date following the observation date&lt;/span&gt;&lt;/p&gt;&lt;p class="editor-paragraph" dir="ltr"&gt;&lt;span style="white-space: pre-wrap;"&gt;If the date is &amp;gt;= end of validity, put blank&lt;/span&gt;&lt;/p&gt;</t>
  </si>
  <si>
    <t>Data della prossima revisione del tasso di interesse. Da tabella VTBHAPO prendo la data interessi successiva alla data osservazione. Se la data è &amp;gt;= a fine validità mettere blank</t>
  </si>
  <si>
    <t>PEMP 153 - Strike price</t>
  </si>
  <si>
    <t>PEMP 29 - Purchase date</t>
  </si>
  <si>
    <t>&lt;p class="editor-paragraph" dir="ltr"&gt;&lt;span style="white-space: pre-wrap;"&gt;It: Data inizio validità&lt;/span&gt;&lt;/p&gt;&lt;p class="editor-paragraph" dir="ltr"&gt;&lt;span style="white-space: pre-wrap;"&gt;En: Date d'engagement&lt;/span&gt;&lt;/p&gt;</t>
  </si>
  <si>
    <t>Data inizio validità</t>
  </si>
  <si>
    <t>PEMP 2 - Product code</t>
  </si>
  <si>
    <t>&lt;p class="editor-paragraph" dir="ltr"&gt;&lt;span style="white-space: pre-wrap;"&gt;it: Codice Prodotto&lt;/span&gt;&lt;/p&gt;&lt;p class="editor-paragraph" dir="ltr"&gt;&lt;span style="white-space: pre-wrap;"&gt;In base al Tipo prod. : &lt;/span&gt;&lt;/p&gt;&lt;p class="editor-paragraph" dir="ltr"&gt;&lt;span style="white-space: pre-wrap;"&gt;Se  51/55 A, H, G, E, T, N, I, P  &lt;/span&gt;&lt;/p&gt;&lt;p class="editor-paragraph" dir="ltr"&gt;&lt;span style="white-space: pre-wrap;"&gt;       ==&amp;gt; OTIEMPRUN&lt;/span&gt;&lt;/p&gt;&lt;p class="editor-paragraph" dir="ltr"&gt;&lt;span style="white-space: pre-wrap;"&gt; Se  51/55 S  &lt;/span&gt;&lt;/p&gt;&lt;p class="editor-paragraph" dir="ltr"&gt;&lt;span style="white-space: pre-wrap;"&gt;       ==&amp;gt; OTIEMPSUB&lt;/span&gt;&lt;/p&gt;&lt;p class="editor-paragraph" dir="ltr"&gt;&lt;span style="white-space: pre-wrap;"&gt;En: Product code &lt;/span&gt;&lt;/p&gt;&lt;p class="editor-paragraph" dir="ltr"&gt;&lt;span style="white-space: pre-wrap;"&gt;Based on the product type. :&lt;/span&gt;&lt;/p&gt;&lt;p class="editor-paragraph" dir="ltr"&gt;&lt;span style="white-space: pre-wrap;"&gt;If 51/55 A, H, G, E, T, N, I, P &lt;/span&gt;&lt;/p&gt;&lt;p class="editor-paragraph" dir="ltr"&gt;&lt;span style="white-space: pre-wrap;"&gt;==&amp;gt; OTIEMPRUN &lt;/span&gt;&lt;/p&gt;&lt;p class="editor-paragraph" dir="ltr"&gt;&lt;span style="white-space: pre-wrap;"&gt;If 51/55 S &lt;/span&gt;&lt;/p&gt;&lt;p class="editor-paragraph" dir="ltr"&gt;&lt;span style="white-space: pre-wrap;"&gt;==&amp;gt; OTIEMPSUB&lt;/span&gt;&lt;/p&gt;</t>
  </si>
  <si>
    <t>Codice Prodotto. In base al Tipo prod. : Se  51/55 A, H, G, E, T, N, I, P ==&amp;gt; OTIEMPRUN. Se  51/55 S   ==&amp;gt; OTIEMPSUB&lt;/span&gt;&lt;/p&gt;&lt;p class="editor-paragraph" dir="ltr"</t>
  </si>
  <si>
    <t>PEMP 30 - Value date</t>
  </si>
  <si>
    <t>&lt;p class="editor-paragraph" dir="ltr"&gt;&lt;span style="white-space: pre-wrap;"&gt;It: Data inizio validità del finanziamento&lt;/span&gt;&lt;/p&gt;&lt;p class="editor-paragraph" dir="ltr"&gt;&lt;span style="white-space: pre-wrap;"&gt;En: Financing validity start date&lt;/span&gt;&lt;/p&gt;</t>
  </si>
  <si>
    <t>Data inizio validità del finanziamento</t>
  </si>
  <si>
    <t>PEMP 31 - Maturity date</t>
  </si>
  <si>
    <t>&lt;p class="editor-paragraph" dir="ltr"&gt;&lt;span style="white-space: pre-wrap;"&gt;It: Data fine validità del finanziamento&lt;/span&gt;&lt;/p&gt;&lt;p class="editor-paragraph" dir="ltr"&gt;&lt;span style="white-space: pre-wrap;"&gt;En: Financing validity end date&lt;/span&gt;&lt;/p&gt;</t>
  </si>
  <si>
    <t>Data fine validità del finanziamento</t>
  </si>
  <si>
    <t>PEMP 69 - Rate rewiew periodicity</t>
  </si>
  <si>
    <t>&lt;p class="editor-paragraph" dir="ltr"&gt;&lt;span style="white-space: pre-wrap;"&gt;It: Periodicità di revisione del tasso&lt;/span&gt;&lt;/p&gt;&lt;p class="editor-paragraph" dir="ltr"&gt;&lt;span style="white-space: pre-wrap;"&gt;tabella VTBFINKO  "Frequenza degli interessi" e poi utilizza il codice secondo le associazioni nel foglio LC 0255.&lt;/span&gt;&lt;/p&gt;&lt;p class="editor-paragraph" dir="ltr"&gt;&lt;br/&gt;&lt;/p&gt;&lt;p class="editor-paragraph" dir="ltr"&gt;&lt;span style="white-space: pre-wrap;"&gt;En: Rate review frequency&lt;/span&gt;&lt;/p&gt;&lt;p class="editor-paragraph" dir="ltr"&gt;&lt;span style="white-space: pre-wrap;"&gt;VTBFINKO table "Interest frequency" and then use the code according to the associations in the LC 0255 sheet.&lt;/span&gt;&lt;/p&gt;</t>
  </si>
  <si>
    <t>PEMP 70 - Rate review periodicity</t>
  </si>
  <si>
    <t>PEMP 71 - Margin</t>
  </si>
  <si>
    <t>PEMP 81 - Amortisation method</t>
  </si>
  <si>
    <t>&lt;p class="editor-paragraph" dir="ltr"&gt;&lt;span style="white-space: pre-wrap;"&gt;It: Tipo ammortamento presente in anagrafica del finanziamento &lt;/span&gt;&lt;/p&gt;&lt;p class="editor-paragraph" dir="ltr"&gt;&lt;span style="white-space: pre-wrap;"&gt;F Ammortamento a rate (ammortamento)&lt;/span&gt;&lt;/p&gt;&lt;p class="editor-paragraph" dir="ltr"&gt;&lt;span style="white-space: pre-wrap;"&gt;L Ammortamento lineare&lt;/span&gt;&lt;/p&gt;&lt;p class="editor-paragraph" dir="ltr"&gt;&lt;span style="white-space: pre-wrap;"&gt;A Ammortamento del capitale + interessi costanti&lt;/span&gt;&lt;/p&gt;&lt;p class="editor-paragraph" dir="ltr"&gt;&lt;span style="white-space: pre-wrap;"&gt;N Ammortamento progressivo&lt;/span&gt;&lt;/p&gt;&lt;p class="editor-paragraph" dir="ltr"&gt;&lt;span style="white-space: pre-wrap;"&gt;O Ammortamento personalizzato&lt;/span&gt;&lt;/p&gt;&lt;p class="editor-paragraph" dir="ltr"&gt;&lt;span style="white-space: pre-wrap;"&gt;X Senza ammortamento&lt;/span&gt;&lt;/p&gt;&lt;p class="editor-paragraph" dir="ltr"&gt;&lt;br/&gt;&lt;/p&gt;&lt;p class="editor-paragraph" dir="ltr"&gt;&lt;span style="white-space: pre-wrap;"&gt;En: Amortization type present in the financing master data&lt;/span&gt;&lt;/p&gt;&lt;p class="editor-paragraph" dir="ltr"&gt;&lt;span style="white-space: pre-wrap;"&gt;F&lt;/span&gt;&lt;span style="white-space: pre-wrap;"&gt;	&lt;/span&gt;&lt;span style="white-space: pre-wrap;"&gt;Bullet redemption (amortization)&lt;/span&gt;&lt;/p&gt;&lt;p class="editor-paragraph" dir="ltr"&gt;&lt;span style="white-space: pre-wrap;"&gt;L&lt;/span&gt;&lt;span style="white-space: pre-wrap;"&gt;	&lt;/span&gt;&lt;span style="white-space: pre-wrap;"&gt;Straight-line amortization&lt;/span&gt;&lt;/p&gt;&lt;p class="editor-paragraph" dir="ltr"&gt;&lt;span style="white-space: pre-wrap;"&gt;A&lt;/span&gt;&lt;span style="white-space: pre-wrap;"&gt;	&lt;/span&gt;&lt;span style="white-space: pre-wrap;"&gt;Redemption of capital + constant interest&lt;/span&gt;&lt;/p&gt;&lt;p class="editor-paragraph" dir="ltr"&gt;&lt;span style="white-space: pre-wrap;"&gt;N&lt;/span&gt;&lt;span style="white-space: pre-wrap;"&gt;	&lt;/span&gt;&lt;span style="white-space: pre-wrap;"&gt;Progressive amortization&lt;/span&gt;&lt;/p&gt;&lt;p class="editor-paragraph" dir="ltr"&gt;&lt;span style="white-space: pre-wrap;"&gt;O&lt;/span&gt;&lt;span style="white-space: pre-wrap;"&gt;	&lt;/span&gt;&lt;span style="white-space: pre-wrap;"&gt;Personalized amortization&lt;/span&gt;&lt;/p&gt;&lt;p class="editor-paragraph" dir="ltr"&gt;&lt;span style="white-space: pre-wrap;"&gt;X&lt;/span&gt;&lt;span style="white-space: pre-wrap;"&gt;	&lt;/span&gt;&lt;span style="white-space: pre-wrap;"&gt;Without amortization&lt;/span&gt;&lt;/p&gt;</t>
  </si>
  <si>
    <t>Tipo ammortamento presente in anagrafica del finanziamento F Ammortamento a rate (ammortamento) L Ammortamento lineare A Ammortamento del capitale + interessi costanti N Ammortamento progressivo O Ammortamento personalizzato X Senza ammortamento</t>
  </si>
  <si>
    <t>Personal Lonas concentration with duration &gt; 84m</t>
  </si>
  <si>
    <t>Totale esposizioni PP</t>
  </si>
  <si>
    <t>&lt;p class="editor-paragraph" dir="ltr"&gt;&lt;b&gt;&lt;strong class="editor-text-bold" style="white-space: pre-wrap;"&gt;CREDIT RISK&lt;/strong&gt;&lt;/b&gt;&lt;/p&gt;&lt;p class="editor-paragraph" dir="ltr"&gt;&lt;span style="white-space: pre-wrap;"&gt;It : La metrica misura il livello di concentrazione dell’intero portafoglio rispetto a un particolare cluster considerato a rischio, ovvero i PP con vita residua &amp;gt; 84 mesi.&lt;/span&gt;&lt;/p&gt;&lt;p class="editor-paragraph" dir="ltr"&gt;&lt;span style="white-space: pre-wrap;"&gt;Tale porzione di portafoglio viene poi confrontata con il totale esposizioni creditizie. &lt;/span&gt;&lt;/p&gt;&lt;p class="editor-paragraph" dir="ltr"&gt;&lt;span style="white-space: pre-wrap;"&gt;Per esposizione creditizia si intende quella contabile lorda, solo On Balance, che include Rappel, Sword e conti non per pratica.&lt;/span&gt;&lt;/p&gt;&lt;p class="editor-paragraph" dir="ltr"&gt;&lt;br/&gt;&lt;span style="white-space: pre-wrap;"&gt;En : The metric measures the level of concentration of the entire portfolio with respect to a particular cluster considered at risk, namely PPs with residual life &amp;gt; 84 months. &lt;/span&gt;&lt;/p&gt;&lt;p class="editor-paragraph" dir="ltr"&gt;&lt;span style="white-space: pre-wrap;"&gt;This portion of the portfolio is then compared with the total credit exposures. &lt;/span&gt;&lt;/p&gt;&lt;p class="editor-paragraph" dir="ltr"&gt;&lt;span style="white-space: pre-wrap;"&gt;Credit exposure means the gross accounting exposure, On Balance only, which includes Rappel, Sword and non-practice accounts.&lt;/span&gt;&lt;/p&gt;</t>
  </si>
  <si>
    <t>Esposizioni PP con durata residua oltre 84 mesi</t>
  </si>
  <si>
    <t>Production &gt; 30 k€ on Short Channel PL only (no BBPM&amp;CA Italy) / Total Production on Short Channel PL only (no BBPM&amp;CA Italy)</t>
  </si>
  <si>
    <t>&lt;p&gt;&lt;strong&gt;OPERATIONAL CREDIT RISK&lt;/strong&gt;&lt;/p&gt;
&lt;p&gt;It : La metrica misura i volumi di nuova produzione di prestiti personali di importo superiore a 30K€ (esclusi rifinanziamenti) rispetto al volume totale di nuova produzione di prestiti personali&lt;/p&gt;
&lt;p&gt;En : The metric measures the volumes of new production of personal loans of an amount greater than €30K (excluding refinancing) compared to the total volume of new production of personal loans&lt;/p&gt;</t>
  </si>
  <si>
    <t>Production &gt; 84 months on Short Channel PL (no BancoBBPM&amp;CA Italy) / Total Production on Short Channel PL (no BancoBBPM&amp;CA Italy)</t>
  </si>
  <si>
    <t>&lt;p&gt;&lt;strong&gt;OPERATIONAL CREDIT RISK&lt;/strong&gt;&lt;/p&gt;
&lt;p&gt;It : La metrica misura i volumi di nuova produzione di prestiti personali con una durata &amp;gt;84 mesi (esclusi rifinanziamenti) rispetto al volume totale di nuova produzione di prestiti personali&lt;/p&gt;
&lt;p&gt;En : The metric measures the volumes of new production of personal loans with a duration &amp;gt;84 months (excluding refinancing) compared to the total volume of new production of personal loans&lt;/p&gt;</t>
  </si>
  <si>
    <t>Production &gt; 84 months PL (BBPM&amp;CA Italy) / Total Production PL (BBPM&amp;CA Italy)</t>
  </si>
  <si>
    <t>&lt;p&gt;&lt;strong&gt;OPERATIONAL CREDIT RISK&lt;/strong&gt;&lt;/p&gt;
&lt;p&gt;It : La metrica misura i volumi di nuova produzione di prestiti personali con una durata &amp;gt;84 mesi (esclusi rifinanziamenti) rispetto al volume totale di nuova produzione di prestiti personali.&lt;/p&gt;
&lt;p&gt;En : The metric measures the volumes of new production of personal loans with a duration &amp;gt;84 months (excluding refinancing) compared to the total volume of new production of personal loans.&lt;/p&gt;</t>
  </si>
  <si>
    <t>PRS - Stable Resources Position</t>
  </si>
  <si>
    <t>&lt;p&gt;&lt;strong&gt;FINANCIAL RISK&lt;/strong&gt;&lt;/p&gt;
&lt;p&gt;It : Indicatore di resilienza a medio-lungo termine, con lo scopo di incentivare il finanziamento delle attività attingendo su base strutturale a fonti di provvista stabili (superiori all’anno); la metrica misura il rapporto tra le passività e le attività a medio-lungo termine (durata originaria &amp;gt; 370 gg)&lt;/p&gt;
&lt;p&gt;En : Medium-long term resilience indicator, with the aim of incentivising the financing of activities by drawing on a structural basis from stable sources of funding (more than a year); the metric measures the ratio between medium/long-term liabilities and assets (original duration &amp;gt; 370 days)&lt;/p&gt;</t>
  </si>
  <si>
    <t>Pure OR Cost Ratio (Net OR Pure Losses / NBI) (Accounting date)</t>
  </si>
  <si>
    <t>&lt;p&gt;&lt;strong&gt;OPERATIONAL RISK&lt;/strong&gt;&lt;/p&gt;
&lt;p&gt;It : La metrica misura l’incidenza percentuale delle perdite operative pure contabilizzate nel trimestre rispetto al margine di intermediazione (Arpege) dello stresso trimestre&lt;/p&gt;
&lt;p&gt;En : The metric measures the percentage incidence of the operating losses also recognized in the quarter compared to the intermediation margin (Arpege) of the same quarter&lt;/p&gt;</t>
  </si>
  <si>
    <t>Recidivism and restrucured contracs</t>
  </si>
  <si>
    <t>Numero delle pratiche ristrutturate</t>
  </si>
  <si>
    <t>&lt;p&gt;&lt;strong&gt;OPERATIONAL CREDIT RISK&lt;/strong&gt;&lt;/p&gt;
&lt;p&gt;It : La metrica misura il numero delle pratiche ristrutturate (C2, C3 e C4) con due o più rate scadute e non pagate durante i primi 6 mesi a partire dalla data di ristrutturazione. &lt;/p&gt;
&lt;p&gt;En : The metric measures the number of restructured practices (C2, C3 and C4) with two or more overdue and unpaid installments during the first 6 months from the restructuring date.&lt;/p&gt;</t>
  </si>
  <si>
    <t>Esposizione totale "regular"</t>
  </si>
  <si>
    <t>Recidivism rate on forbearance (GPS 523)</t>
  </si>
  <si>
    <t>&lt;p&gt;&lt;strong&gt;OPERATIONAL CREDIT RISK&lt;/strong&gt;&lt;/p&gt;
&lt;p&gt;It : La metrica misura il numero delle pratiche forborne (C2, C3) con due o più rate scadute e non pagate durante i primi 6 mesi a partire dalla data di ingresso in forbearance. &lt;/p&gt;
&lt;p&gt;En : The metric measures the number of forborne practices (C2, C3) with two or more overdue and unpaid installments during the first 6 months from the date of entry into forbearance.&lt;/p&gt;</t>
  </si>
  <si>
    <t>&lt;p&gt;&lt;strong&gt; PROFITABILITY&lt;/strong&gt;&lt;/p&gt;
&lt;p&gt;It : La metrica monitora la redditività della società in relazione al capitale assorbito, ponderato per il rischio &lt;br/&gt;En : The metric monitors the company's profitability in relation to its risk-adjusted capital.&lt;/p&gt;</t>
  </si>
  <si>
    <t>RWA (on IRB perimeter) / EAD (on IRB perimeter)</t>
  </si>
  <si>
    <t>&lt;p class="editor-paragraph" dir="ltr"&gt;&lt;b&gt;&lt;strong class="editor-text-bold" style="white-space: pre-wrap;"&gt;RETAIL CREDIT RISK&lt;/strong&gt;&lt;/b&gt;&lt;/p&gt;&lt;p class="editor-paragraph" dir="ltr"&gt;&lt;span style="white-space: pre-wrap;"&gt;It : La metrica monitora il livello dell’Attivo ponderato per il rischio (RWA) rispetto all’esposizione a default (EAD), entrambe calcolati sul perimetro IRB.&lt;/span&gt;&lt;/p&gt;&lt;p class="editor-paragraph" dir="ltr"&gt;&lt;span style="white-space: pre-wrap;"&gt;En : The metric monitors the level of Risk-Weighted Assets (RWA) compared to the exposure to default (EAD), both calculated on the IRB perimeter.&lt;/span&gt;&lt;/p&gt;</t>
  </si>
  <si>
    <t>&lt;p class="editor-paragraph" dir="ltr"&gt;&lt;b&gt;&lt;strong class="editor-text-bold" style="white-space: pre-wrap;"&gt;RETAIL CREDIT RISK&lt;/strong&gt;&lt;/b&gt;&lt;/p&gt;&lt;p class="editor-paragraph" dir="ltr"&gt;&lt;span style="white-space: pre-wrap;"&gt;It : La metrica monitora l'incidenza del Costo del Rischio della CQS sull’esposizione creditizia complessiva lorda del prodotto CQS osservata a fine periodo &lt;/span&gt;&lt;i&gt;&lt;em class="editor-text-italic" style="white-space: pre-wrap;"&gt;(On Balance)&lt;/em&gt;&lt;/i&gt;&lt;span style="white-space: pre-wrap;"&gt;. &lt;/span&gt;&lt;/p&gt;&lt;p class="editor-paragraph" dir="ltr"&gt;&lt;span style="white-space: pre-wrap;"&gt;En : The metric monitors the impact of the CQS Cost of Risk on the overall gross credit exposure of the CQS product observed at the end of the period (On Balance).&lt;/span&gt;&lt;/p&gt;&lt;p class="editor-paragraph"&gt;&lt;span style="white-space: pre-wrap;"&gt; &lt;/span&gt;&lt;/p&gt;</t>
  </si>
  <si>
    <t>Recovery sui passaggi a perdita</t>
  </si>
  <si>
    <t>Total gross outstanding</t>
  </si>
  <si>
    <t>SBL Netto delle cessioni di NPL (incassi da cessione)</t>
  </si>
  <si>
    <t>Security rules deployment</t>
  </si>
  <si>
    <t>Applicable Rules</t>
  </si>
  <si>
    <t>&lt;p&gt;&lt;strong&gt;CYBER RISK&lt;/strong&gt;&lt;/p&gt;
&lt;p&gt;It : La metrica misura la capacità di implementare le regole di sicurezza rispetto alla totalita di regole proposte dal Gruppo ed è calcolata rapportando il totale delle regole di sicurezza implementabili al totale delle regole applicabili&lt;br/&gt;En : Ratio between the total of the safety rules that can be implemented and the total of the applicable rules&lt;/p&gt;</t>
  </si>
  <si>
    <t>Deployed Rules</t>
  </si>
  <si>
    <t>Self Funding Ratio (Group Definition)</t>
  </si>
  <si>
    <t>&lt;p&gt;&lt;strong&gt;FINANCIAL RISK&lt;/strong&gt;&lt;/p&gt;
&lt;p&gt;It : La metrica monitora la capacità di Agos di finanziarsi autonomamente a condizioni di mercato&lt;/p&gt;
&lt;p&gt;Tale metrica viene misurata calcolando l’incidenza percentuale dell’indebitamento verso controparti non appartenenti al Gruppo Crédit Agricole (inclusi quindi il funding Commerciale di CA Italia ed i “Deposit Loans” di CACF, finanziati attraverso raccolta diretta delle stesse, e le cartolarizzazioni o le Repo in cui il Gruppo è intermediario di investitore terzo, compresi i finanziamenti garantiti da crediti CQS) sull’indebitamento totale, con l’esclusione dei finanziamenti subordinati, dei finanziamenti per la gestione della PRS, delle Repo LCR e del finanziamento con CA Italia (2022-2026) per l'acquisto dei crediti fiscali, in quanto tale operazione ha carattere straordinario.&lt;/p&gt;
&lt;p&gt;En : The metric monitors Agos' ability to finance itself independently at market conditions &lt;/p&gt;
&lt;p&gt;This metric is measured by calculating the percentage incidence of indebtedness towards counterparties not belonging to the Crédit Agricole Group (therefore including the Commercial funding of CA Italia and the “Deposit Loans” of CACF, financed through direct collection of the same, and the securitisations or Repos in which the Group is an intermediary of a third-party investor, including financing guaranteed by CQS credits) on total indebtedness, with the exclusion of subordinated financing, financing for the management of the PRS, LCR Repos and the financing with CA Italia (2022-2026) for the purchase of tax credits, as this operation is of an extraordinary nature.&lt;/p&gt;</t>
  </si>
  <si>
    <t>Share of Automotive balloon financing in total retail production in long channel automotive only (amount version)</t>
  </si>
  <si>
    <t>Total Long Channel Veicles Production</t>
  </si>
  <si>
    <t>&lt;p&gt;&lt;strong&gt;OPERATIONAL CREDIT RISK&lt;/strong&gt;&lt;/p&gt;
&lt;p&gt;It : La metrica misura il volume (finanziato) della nuova produzione di finanziamenti “Balloon” nel comparto Automotive (Escluso TCM), rispetto al volume della produzione totale Automotive del canale lungo.&lt;/p&gt;
&lt;p&gt;En : The metric measures the volume of new production of balloon loans in the Automotive sector, compared to the volume of total Automotive production of the long channel.&lt;/p&gt;</t>
  </si>
  <si>
    <t>New Production of Balloon Financed in Automotive</t>
  </si>
  <si>
    <t>&lt;p&gt;&lt;strong&gt;CREDIT RISK &lt;/strong&gt;&lt;/p&gt;
&lt;p&gt;It : La metrica misura il livello di esposizioni creditizie in Bucket 2 sul totale esposizioni creditizie Performing (Bucket 1 + Bucket 2). Per esposizione creditizia si intende quella contabile lorda, solo On Balance, che include Rappel, Sword e conti non per pratica &lt;/p&gt;
&lt;p&gt;En : The metric measures the level of credit exposures in Bucket 2 out of the total Performing credit exposures (Bucket 1 + Bucket 2). Credit exposure means the gross accounting exposure, On Balance only, which includes Rappel, Sword and non-practice accounts.&lt;/p&gt;</t>
  </si>
  <si>
    <t>Share of credit consolidation on total production (amount version)</t>
  </si>
  <si>
    <t>New production of credit consolidation (amount)</t>
  </si>
  <si>
    <t>&lt;p&gt;&lt;strong&gt;OPERATIONAL CREDIT RISK&lt;/strong&gt;&lt;/p&gt;
&lt;p&gt;It : La metrica misura il volume di nuova produzione in Collection (in linea con la definizione della GPS 417) rispetto al volume della produzione totale.&lt;/p&gt;
&lt;p&gt;En : Volume of new production in Collection (in line with the definition of GPS 417) compared to the volume of total production.&lt;/p&gt;</t>
  </si>
  <si>
    <t>Total production</t>
  </si>
  <si>
    <t>Share of restructuration in back to regular ratio (amount version)</t>
  </si>
  <si>
    <t>&lt;p&gt;&lt;strong&gt;OPERATIONAL CREDIT RISK&lt;/strong&gt;&lt;/p&gt;
&lt;p&gt;It : La metrica misura l’esposizione totale che ritorna “regular” attraverso operazioni di ristrutturazione nel corso del mese di riferimento, rispetto all’esposizione totale che ritorna regular nel mese.&lt;/p&gt;
&lt;p&gt;En : Total exposure that returns "regular" through restructuring operations during the reference month, compared to the total exposure that returns regular in the month.&lt;/p&gt;</t>
  </si>
  <si>
    <t>New Total Production Automotive</t>
  </si>
  <si>
    <t>Share of unpaid balloons charged on dealers on total balloons charged on dealers (TCM amount version)</t>
  </si>
  <si>
    <t>Total unpaid balloons TCM charged on Dealers</t>
  </si>
  <si>
    <t>&lt;p&gt;&lt;strong&gt;OPERATIONAL CREDIT RISK&lt;/strong&gt;&lt;/p&gt;
&lt;p&gt;It : La metrica misura il volume degli impagati sui finanziamenti “balloon TCM”, rispetto al volume della produzione totale “balloon TCM” caricata dai Dealers. &lt;/p&gt;
&lt;p&gt;En : The metric measures the volume of unpaid “balloon TCM” financing, relative to the volume of total “balloon TCM” production uploaded by Dealers.&lt;/p&gt;</t>
  </si>
  <si>
    <t>Total production balloons TCM</t>
  </si>
  <si>
    <t>&lt;p class="editor-paragraph" dir="ltr"&gt;&lt;b&gt;&lt;strong class="editor-text-bold" style="white-space: pre-wrap;"&gt;RETAIL CREDIT RISK&lt;/strong&gt;&lt;/b&gt;&lt;/p&gt;&lt;p class="editor-paragraph" dir="ltr"&gt;&lt;span style="white-space: pre-wrap;"&gt;It : La metrica misura il livello di esposizioni Non Performing (NPE) in confronto con il Total Outstanding Lordo contabile dello Short Chanel.&lt;/span&gt;&lt;/p&gt;&lt;p class="editor-paragraph" dir="ltr"&gt;&lt;span style="white-space: pre-wrap;"&gt;En : % Incidence of Non Performing Loans (NPL) in comparison with the Gross Total Outstanding (On-balance). &lt;/span&gt;&lt;/p&gt;</t>
  </si>
  <si>
    <t>Short Term limit (internal + external)</t>
  </si>
  <si>
    <t>&lt;p class="editor-paragraph" dir="ltr"&gt;&lt;b&gt;&lt;strong class="editor-text-bold" style="white-space: pre-wrap;"&gt;FINANCIAL RISK&lt;/strong&gt;&lt;/b&gt;&lt;/p&gt;&lt;p class="editor-paragraph" dir="ltr"&gt;&lt;span style="white-space: pre-wrap;"&gt;It : Indicatore di resilienza a breve termine, con lo scopo di disincentivare il finanziamento delle attività attingendo su base strutturale a fonti di provvista a breve (inferiori all’anno). &lt;/span&gt;&lt;/p&gt;&lt;p class="editor-paragraph" dir="ltr"&gt;&lt;span style="white-space: pre-wrap;"&gt;La metrica misura la differenza tra le passività e le attività a breve termine (durata originaria &amp;lt; 370 gg), con l’esclusione, al passivo, delle “REPO”, e, all’attivo, di “Reverse REPO” e “Securities eligible to Internal Model Liquidity buffer”. &lt;/span&gt;&lt;/p&gt;&lt;p class="editor-paragraph" dir="ltr"&gt;&lt;span style="white-space: pre-wrap;"&gt; Esposizione netta di attività e passività con durata inferiore o uguale a 370 giorni; corrisponde al debito totale con scadenza originaria a breve termine meno reinvestimenti/attività a breve termine.&lt;/span&gt;&lt;/p&gt;&lt;p class="editor-paragraph" dir="ltr"&gt;&lt;span style="white-space: pre-wrap;"&gt;En : Short-term resilience indicator, with the aim of discouraging the financing of activities by drawing on a structural basis on short-term funding sources (less than one year).&lt;/span&gt;&lt;/p&gt;&lt;p class="editor-paragraph" dir="ltr"&gt;&lt;span style="white-space: pre-wrap;"&gt;The metric measures the difference between short-term liabilities and assets (original maturity &amp;lt; 370 days), excluding, on the liabilities side, “REPOs”, and, on the assets side, “Reverse REPOs” and “Securities eligible to Internal Model Liquidity buffer”. &lt;/span&gt;&lt;/p&gt;&lt;p class="editor-paragraph" dir="ltr"&gt;&lt;span style="white-space: pre-wrap;"&gt;Net exposure of assets and liabilities with a maturity less than or equal to 370 days; corresponds to the total debt with an original short-term maturity less reinvestments/short-term assets.&lt;/span&gt;&lt;/p&gt;</t>
  </si>
  <si>
    <t>Total Asset (On-balance)</t>
  </si>
  <si>
    <t>&lt;p&gt;&lt;strong&gt;SOLVENCY&lt;/strong&gt;&lt;/p&gt;
&lt;p&gt;It: La metrica misura il “leverage” (o “leva finanziaria”), definita come il rapporto tra il capitale di classe 1 (TIER 1) ed il totale delle attività di Bilancio, in continuo confronto con gli obiettivi strategici&lt;/p&gt;
&lt;p&gt;En : Ratio between TIER 1 (class 1 capital) + Additional TIER 1 (currently in Agos equal to zero) and total assets in the Financial Statements (individual data on Agos Ducato)&lt;/p&gt;</t>
  </si>
  <si>
    <t>Total Asset (Off-balance)</t>
  </si>
  <si>
    <t>Additional Tier 1</t>
  </si>
  <si>
    <t>SIR 18 of Short Channel (no BBPM&amp;CA Italy)</t>
  </si>
  <si>
    <t>&lt;p&gt;&lt;strong&gt;OPERATIONAL CREDIT RISK&lt;/strong&gt;&lt;/p&gt;
&lt;p&gt;It : La metrica monitora il numero delle pratiche con due o più rate scadute e non pagate durante i primi 18 mesi di vita a partire dalla data di prima scadenza.&lt;/p&gt;
&lt;p&gt;En : The metric monitors the number of practices with two or more installments expired and unpaid during the first 18 months of life starting from the first due date.&lt;/p&gt;</t>
  </si>
  <si>
    <t>SIR 3 of Long Channel - HHE, «Fastline» &amp; Insurance Credit Cards</t>
  </si>
  <si>
    <t>&lt;p&gt;&lt;strong&gt;OPERATIONAL CREDIT RISK&lt;/strong&gt;&lt;/p&gt;
&lt;p&gt;It : La metrica monitora il numero delle pratiche con due o più rate scadute e non pagate durante i primi 3 mesi di vita a partire dalla data di prima scadenza&lt;/p&gt;
&lt;p&gt;En : Number of cases with two or more expired and unpaid installments during the first 3 months of life starting from the first due date. &lt;br/&gt;&lt;br/&gt;&lt;/p&gt;</t>
  </si>
  <si>
    <t>SIR 3 of Revolving no «Fastline» &amp; Insurance Credit Cards</t>
  </si>
  <si>
    <t>&lt;p&gt;&lt;strong&gt;OPERATIONAL CREDIT RISK&lt;/strong&gt;&lt;/p&gt;
&lt;p&gt;It : La metrica monitora il numero delle pratiche con due o più rate scadute e non pagate durante i primi 3 mesi di vita a partire dalla data di prima scadenza.&lt;/p&gt;
&lt;p&gt;En : Number of cases with two or more expired and unpaid installments during the first 3 months of life starting from the first due date.&lt;/p&gt;</t>
  </si>
  <si>
    <t>Sovereign exposure (by Country)</t>
  </si>
  <si>
    <t>&lt;p&gt;&lt;strong&gt;COUNTRY RISK&lt;/strong&gt;&lt;/p&gt;
&lt;p&gt;It : La metrica monitora l’esposizione totale nei confronti degli stati sovrani suddivisa per Paese.&lt;/p&gt;
&lt;p&gt;En : The metric monitors the total exposure to sovereign states broken down by country.&lt;/p&gt;</t>
  </si>
  <si>
    <t>&lt;p&gt;&lt;strong&gt;PROFITABILITY&lt;/strong&gt;&lt;/p&gt;
&lt;p&gt;It:  La metrica misura lo spread applicato ai volumi prodotti durante il periodo di osservazione (valore Ytd)&lt;/p&gt;
&lt;p&gt;En: The metric measures the spread applied to the volumes produced during the observation period (Ytd value) &lt;/p&gt;</t>
  </si>
  <si>
    <t>&lt;p&gt;&lt;strong&gt;SOLVENCY&lt;/strong&gt;&lt;/p&gt;
&lt;p&gt;It : La metrica monitora l’andamento del requisito patrimoniale in conformità con quanto previsto dall’Autorità di Vigilanza, in continuo confronto con gli obiettivi strategici&lt;br/&gt;En : The metric monitors the trend of the capital requirement in compliance with the provisions of the Supervisory Authority, in continuous comparison with the strategic objectives&lt;/p&gt;</t>
  </si>
  <si>
    <t>Tender procedure for third parties</t>
  </si>
  <si>
    <t>&lt;p class="editor-paragraph" dir="ltr"&gt;&lt;b&gt;&lt;strong class="editor-text-bold" style="white-space: pre-wrap;"&gt;CLIMATE RISK&lt;/strong&gt;&lt;/b&gt;&lt;/p&gt;&lt;p class="editor-paragraph" dir="ltr"&gt;&lt;span style="white-space: pre-wrap;"&gt;It : La metrica monitora il livello di conformità del processo di acquisto con gara rispetto a quanto disciplinato nella normativa di riferimento (PRO 303 e MAO 357)&lt;/span&gt;&lt;/p&gt;&lt;p class="editor-paragraph" dir="ltr"&gt;&lt;span style="white-space: pre-wrap;"&gt;En : The metric monitors the level of compliance of the procurement process with tender with respect to what is regulated in the reference legislation (PRO 303 and MAO 357)&lt;/span&gt;&lt;/p&gt;</t>
  </si>
  <si>
    <t>Top 20 Corporate</t>
  </si>
  <si>
    <t>&lt;p class="editor-paragraph" dir="ltr"&gt;&lt;b&gt;&lt;strong class="editor-text-bold" style="white-space: pre-wrap;"&gt;CORPORATE CREDIT RISK&lt;/strong&gt;&lt;/b&gt;&lt;/p&gt;&lt;p class="editor-paragraph" dir="ltr"&gt;&lt;span style="white-space: pre-wrap;"&gt;It : La metrica monitora il livello di esposizione delle prime 20 controparti Corporate sull’esposizione creditizia complessiva lorda Corporate osservata a fine periodo (On Balance).&lt;/span&gt;&lt;/p&gt;&lt;p class="editor-paragraph" dir="ltr"&gt;&lt;span style="white-space: pre-wrap;"&gt;En : The metric monitors the level of exposure of the top 20 Corporate counterparties on the overall gross Corporate credit exposure observed at the end of the period (On Balance).&lt;/span&gt;&lt;/p&gt;</t>
  </si>
  <si>
    <t>% Total Production covered by Scorecards with insufficient performance (with Gini&lt;40% for Known Customers or 35% for Unknown Customers)</t>
  </si>
  <si>
    <t>&lt;p&gt;&lt;strong&gt;MODEL RISK&lt;/strong&gt;&lt;/p&gt;
&lt;p&gt;It : La metrica monitora la produzione (finanziato per consumo e fido per revolving) generata dalle Scorecard che nell’ultimo Backtesting hanno fatto registrare una performance insufficiente. La produzione è considerata al netto delle griglie tecniche e delle griglie dismesse alla data del backtesting.&lt;/p&gt;
&lt;p&gt;En : The metric monitors the production (financed for consumption and revolving credit) generated by the Scorecards that in the last Backtesting recorded an insufficient performance. Production is considered net of technical grids and grids decommissioned at the backtesting date.&lt;/p&gt;</t>
  </si>
  <si>
    <t>RWA rischio di credito</t>
  </si>
  <si>
    <t>&lt;p class="editor-paragraph" dir="ltr"&gt;&lt;span style="white-space: pre-wrap;"&gt; &lt;/span&gt;&lt;b&gt;&lt;strong class="editor-text-bold" style="white-space: pre-wrap;"&gt;SOLVENCY&lt;/strong&gt;&lt;/b&gt;&lt;/p&gt;&lt;p class="editor-paragraph" dir="ltr"&gt;&lt;span style="white-space: pre-wrap;"&gt;It : La metrica monitora l’andamento degli attivi ponderati per il rischio (RWA) in conformità con quanto previsto dall’Autorità di Vigilanza, in continuo confronto con gli obiettivi strategici&lt;/span&gt;&lt;/p&gt;&lt;p class="editor-paragraph"&gt;&lt;span style="white-space: pre-wrap;"&gt;- &lt;/span&gt;&lt;a class="editor-link" href="https://cacf.collibra.com/rest/2.0/attachments/0197c9fe-a6e9-7d56-a0ff-ec1fdb07f3f0/file/"&gt;&lt;span style="white-space: pre-wrap;"&gt;Documento che spiega i processi di aggregazione dei dati utilizzati per il calcolo degli indicatori RAF&lt;/span&gt;&lt;/a&gt;&lt;/p&gt;&lt;p class="editor-paragraph" dir="ltr"&gt;&lt;span style="white-space: pre-wrap;"&gt;En : The metric monitors the performance of risk-weighted assets (RWA) in accordance with the provisions of the Supervisory Authority, in continuous comparison with the strategic objectives.&lt;/span&gt;&lt;/p&gt;&lt;p class="editor-paragraph"&gt;&lt;span style="white-space: pre-wrap;"&gt;- &lt;/span&gt;&lt;a class="editor-link" href="https://cacf.collibra.com/rest/2.0/attachments/0197c9fe-a6e9-7d56-a0ff-ec1fdb07f3f0/file/"&gt;&lt;span style="white-space: pre-wrap;"&gt;Document explaining the data aggregation processes used for the calculation of RAF indicators&lt;/span&gt;&lt;/a&gt;&lt;/p&gt;</t>
  </si>
  <si>
    <t>RWA rischio operativo</t>
  </si>
  <si>
    <t>RWA cva</t>
  </si>
  <si>
    <t>Transfer to Litigation</t>
  </si>
  <si>
    <t>Totale esposizioni a recupero</t>
  </si>
  <si>
    <t>&lt;p&gt;&lt;strong&gt;CREDIT RISK&lt;/strong&gt;&lt;/p&gt;
&lt;p&gt;It : La metrica monitora il totale delle esposizioni (in %) che passano a contenzioso nel mese rispetto al totale delle esposizioni a recupero ad inizio mese&lt;br/&gt;En : The metric tracks total exposures (in %) that transition to litigation in the month relative to total exposures in recovery at the beginning of the month&lt;/p&gt;
&lt;p&gt; &lt;/p&gt;</t>
  </si>
  <si>
    <t>Name</t>
  </si>
  <si>
    <t>Asset Type</t>
  </si>
  <si>
    <t>[Data Quality Rule] applies to [Business Term] &gt; Name</t>
  </si>
  <si>
    <t>[Data Quality Result] applies to [Data Element] &gt; Name</t>
  </si>
  <si>
    <t>[Data Quality Rule] classified by [Data Quality Dimension] &gt; Name</t>
  </si>
  <si>
    <t>Description (No Formatting)</t>
  </si>
  <si>
    <t>[Data Quality Rule] is part of [Data Quality Rule Category] &gt; Name</t>
  </si>
  <si>
    <t>BT Banche Dati - Validity [DQ_CNTP_01]</t>
  </si>
  <si>
    <t>Data Quality Rule</t>
  </si>
  <si>
    <t>SCR - Banche Dati</t>
  </si>
  <si>
    <t>Verificare che il flag anagrafico contenga valori validi (S/N)</t>
  </si>
  <si>
    <t>DQ Rating Controparte [Validity Ctg]</t>
  </si>
  <si>
    <t>BT Buon Cliente - Validity [DQ_CNTP_06]</t>
  </si>
  <si>
    <t>CP - Buon Cliente</t>
  </si>
  <si>
    <t>BT Contenzioso - Validity [DQ_CNTP_03]</t>
  </si>
  <si>
    <t>CP - Contenzioso</t>
  </si>
  <si>
    <t>BT Indesiderato - Validity [DQ_CNTP_04]</t>
  </si>
  <si>
    <t>CP - Indesiderato</t>
  </si>
  <si>
    <t>BT Indirizzo Corrispondenza - Accuracy [DQ_ANA_CLI_02]</t>
  </si>
  <si>
    <t>CP - Indirizzo Corrispondenza</t>
  </si>
  <si>
    <t>Verificare che le località dell'indirizzo di corrispondenza sia ancora valido</t>
  </si>
  <si>
    <t>DQ Anagrafica [Accuracy Ctg]</t>
  </si>
  <si>
    <t>BT Indirizzo Domicilio - Accuracy [DQ_ANA_CLI_03]</t>
  </si>
  <si>
    <t>CP - Indirizzo Domicilio</t>
  </si>
  <si>
    <t>Verificare che le località dell'indirizzo di domicilio sia ancora valido</t>
  </si>
  <si>
    <t>BT Indirizzo Mail - Completeness [DQ_ANAG_LOG_01]</t>
  </si>
  <si>
    <t>CP - Indirizzo Mail</t>
  </si>
  <si>
    <t>Verifica presenza indirizzo logico</t>
  </si>
  <si>
    <t>DQ Anagrafica Logica  [Completeness Ctg]</t>
  </si>
  <si>
    <t>BT Indirizzo Mail - Validity [DQ_ANAG_LOG_03]</t>
  </si>
  <si>
    <t>Controllo validità email</t>
  </si>
  <si>
    <t>DQ Anagrafica [Validity Ctg]</t>
  </si>
  <si>
    <t>BT Indirizzo Precedente - Accuracy [DQ_ANA_CLI_04]</t>
  </si>
  <si>
    <t>CP - Indirizzo Precedente</t>
  </si>
  <si>
    <t>Verificare che le località dell'indirizzo precedente sia ancora valido</t>
  </si>
  <si>
    <t>BT Indirizzo Residenza - Accuracy [DQ_ANA_CLI_01]</t>
  </si>
  <si>
    <t>CP - Indirizzo Residenza</t>
  </si>
  <si>
    <t>Verificare che le località dell'indirizzo di residenza sia ancora valido_x000D_
_x000D_
Test script:_x000D_
SELECT /*+parallel(8)*/ COUNT(*) NUM_KO FROM FH51B.O_ANA_CNT_INDIRIZZO_FISICO_TH_G A INNER JOIN  FH51B.O_ANA_CNT_TBAREAGEO_T_G B ON B.ID_LOCALITA=A.ID_COMUNE_LOC AND cd_relazione_fisic_cntp_tp IN ('RESIDENZA','INDCORRISP','DOMICILIO') AND A.XDT_FINE_VALIDITA=to_date('31-12-9999','DD-MM-YYYY') AND B.DT_FINE_VAL&lt;&gt;to_date('31-12-9999','DD-MM-YYYY')</t>
  </si>
  <si>
    <t>BT Numero Cellulare - Completeness [DQ_ANAG_LOG_02]</t>
  </si>
  <si>
    <t>CP - Numero Cellulare</t>
  </si>
  <si>
    <t>BT Protesti - Validity [DQ_CNTP_02]</t>
  </si>
  <si>
    <t>CP - Protesti</t>
  </si>
  <si>
    <t>BT Rete Sede - Validity [DQ_FIN_SEDE_01]</t>
  </si>
  <si>
    <t>CO - Codice Settore</t>
  </si>
  <si>
    <t>Verifica esistenza produzione finalizzato su Sede</t>
  </si>
  <si>
    <t>DQ Finanziamenti Sede [Validity Ctg]</t>
  </si>
  <si>
    <t>AST - Rete Sede</t>
  </si>
  <si>
    <t>BT Truffatore - Validity [DQ_CNTP_05]</t>
  </si>
  <si>
    <t>CP - Truffatore</t>
  </si>
  <si>
    <t>BT VIN code - Validity [DQ_FIN_AUTO_01]</t>
  </si>
  <si>
    <t>SCR -  VIN code</t>
  </si>
  <si>
    <t>Controllo formale VIN Code su finanziamenti AUTO nuove e usate</t>
  </si>
  <si>
    <t>DQ Finanziamenti Auto [Validity Ctg]</t>
  </si>
  <si>
    <t>DQR - 2.2 accounting &gt; 1 - Assessment of the quality of procedure for the regulatory statements production</t>
  </si>
  <si>
    <t>Accuracy</t>
  </si>
  <si>
    <t>Valutazione della qualità e dell’aggiornamento della normativa interna</t>
  </si>
  <si>
    <t>DQ GP CACF_ 1053 235 - Accounting / regulatory reconciliation 2.2</t>
  </si>
  <si>
    <t>DQR - 2.2 accounting &gt; 2 - Quality of anomalies identification file</t>
  </si>
  <si>
    <t>Attività di quadratura e riconciliazione tra i dati contabili e i dati della segnalazione prudenziale: tutte le componenti dell’attivo vengono prese in considerazione per il calcolo degli RWA?</t>
  </si>
  <si>
    <t>DQR - 2.2 accounting &gt; 3 - Analyses quality</t>
  </si>
  <si>
    <t>Analisi qualità trattamento/elaborazione dati ai fini del regulatory reporting: esistono procedure automatiche e consistenti per la preparazione e invio del regulatory reporting?</t>
  </si>
  <si>
    <t>DQR - 2.2 accounting &gt; 4 - Quality of follow-up of anomaly reporting to the support / user / project management</t>
  </si>
  <si>
    <t>Verifica stato avanzamento eventuali piani di azione legati a discrepanze rilevate</t>
  </si>
  <si>
    <t>DQR - 2.2 accounting &gt; 5 - Monitoring of malfunction reports as identified in the alert procedure</t>
  </si>
  <si>
    <t>Monitoraggio alert contabili ricevuti da Finance in base a disposizioni di gruppo recepite in Agos</t>
  </si>
  <si>
    <t>DQR - 2.2 deadlines &gt; 1 - Analysis of delay and reissue causes</t>
  </si>
  <si>
    <t>Timeliness</t>
  </si>
  <si>
    <t>Analisi ritardi ed eventuali rinvii regulatory reporting dovuti a errori/anomalie</t>
  </si>
  <si>
    <t>DQ GP CACF_1041 112 – Compliance with deadlines of financial and regulatory publications 2.2</t>
  </si>
  <si>
    <t>DQR - 2.2 deadlines &gt; 2 - Quality of action plans and their monitoring</t>
  </si>
  <si>
    <t>Qualità piani di azione messi in piedi in caso di ritardi</t>
  </si>
  <si>
    <t>DQR - 2.2 deadlines &gt; 3 - Monitoring of malfunction reports as identified in the alert procedure</t>
  </si>
  <si>
    <t>Monitoraggio alert  sulle scadenze regolamentari  ricevuti da Finance in base a disposizioni di gruppo recepite in Agos</t>
  </si>
  <si>
    <t>DQR - 2.2 deadlines &gt; 4 - Quality of deadline follow-up reports established by the controller 2.1</t>
  </si>
  <si>
    <t>Qualità dell’attività di controllo svolta dalla funzione preposta</t>
  </si>
  <si>
    <t>DQR - BND CRIF &gt; 1001 - DWI – COGNOME ERRATO</t>
  </si>
  <si>
    <t>BT - Contribuzione CRIF</t>
  </si>
  <si>
    <t>Consistency</t>
  </si>
  <si>
    <t xml:space="preserve">L'errore viene generato a fronte di due possibili situazioni:
Se nel file di input inviato dal Partecipante è stato inserimento un carattere speciale non consentito nella stringa relativa al cognome.
Se il cognome contribuito non risulta essere congruente con quanto riportato nel codice fiscale.
</t>
  </si>
  <si>
    <t>DQ Contribuzione CRIF - Normalizzazione Dati Anagrafici [Ctg]</t>
  </si>
  <si>
    <t>DQR - BND CRIF &gt; 1002 - DWI - Nome non trovato o errato</t>
  </si>
  <si>
    <t xml:space="preserve">L'errore viene generato a fronte di due possibili situazioni:
Se nel file di input inviato dal Partecipante è stato inserimento un carattere speciale non consentito nella stringa relativa al nome.
Se il nome contribuito non risulta essere congruente con quanto riportato nel codice fiscale.
</t>
  </si>
  <si>
    <t>DQR - BND CRIF &gt; 1004 - DWI - INDIRIZZO RESIDENZA NON ESISTENTE O ERRATO</t>
  </si>
  <si>
    <t>Il campo indirizzo di residenza è stato valorizzato in modo errato in riferimento a quanto presente sul nostro DWI.</t>
  </si>
  <si>
    <t>DQR - BND CRIF &gt; 1005 - DWI - INDIRIZZO SEDE LEGALE NON ESISTENTE O ERRATO</t>
  </si>
  <si>
    <t>Il campo indirizzo sede legale è stato valorizzato in modo errato in riferimento a quanto presente sul nostro DWI.</t>
  </si>
  <si>
    <t>DQR - BND CRIF &gt; 1006 - DWI - INDIRIZZO RESIDENZA - INCOERENZA TRA PROVINCIA E CAP</t>
  </si>
  <si>
    <t>Il campo provincia e il campo CAP relativi alla residenza non risultano corrispondenti tra loro, non fanno riferimento entrambi alla stessa località.</t>
  </si>
  <si>
    <t>DQR - BND CRIF &gt; 1007 - DWI - INDIRIZZO SEDE LEGALE - INCOERENZA TRA PROVINCIA E CAP</t>
  </si>
  <si>
    <t>Il campo Provincia e il campo CAP relativi alla sede legale non risultano corrispondenti tra loro, non fanno riferimento entrambi alla stessa località.</t>
  </si>
  <si>
    <t xml:space="preserve">DQR - BND CRIF &gt; 101 - FLAG DI CODICE FISCALE CALCOLATO ERRATO </t>
  </si>
  <si>
    <t xml:space="preserve">Il campo Flag di Codice Fiscale Calcolato è stato valorizzato con in modo errato. Ricordiamo che i valori possibili da inserire  sono i seguenti: 
BLANK = codice fiscale non inviato 
“0” = Fornito dal cliente al Partecipante 
“1” = Calcolato dal Partecipante          
</t>
  </si>
  <si>
    <t>DQ Contribuzione CRIF - Anagrafica [Ctg]</t>
  </si>
  <si>
    <t>DQR - BND CRIF &gt; 1020 - DWI - INDIRIZZO RESIDENZA - LOCALITA NON DIGITATA</t>
  </si>
  <si>
    <t>Completeness</t>
  </si>
  <si>
    <t>Il campo Comune della residenza non è stato valorizzato o è stato valorizzato utilizzando solo caratteri speciali.</t>
  </si>
  <si>
    <t>DQR - BND CRIF &gt; 1024 - DWI - INDIRIZZO RESIDENZA - LOCALITA NON UNIVOCA</t>
  </si>
  <si>
    <t>Uniqueness</t>
  </si>
  <si>
    <t xml:space="preserve">L'errore viene generato a fronte di tre possibili situazioni:
Sono stati valorizzati i dati di residenza, ma la mancata valorizzazione della provincia non ha permesso il riconoscimento della località.
Sono stati valorizzati i dati di residenza, ma il campo provincia ed il campo comune non sono congruenti tra loro.
Sono stati valorizzati i dati di residenza, ma l'indirizzo inserito non viene attribuito dal nostro DWI al comune indicato.
</t>
  </si>
  <si>
    <t>DQR - BND CRIF &gt; 1025 - DWI - INDIRIZZO SEDE LEGALE - LOCALITA NON UNIVOCA</t>
  </si>
  <si>
    <t xml:space="preserve">L'errore viene generato a fronte di tre possibili situazioni:
E' stato valorizzato l'indirizzo della sede legale, ma la mancata valorizzazione della provincia non ha permesso il riconoscimento della località,
E' stato valorizzato l'indirizzo della sede legale, ma il campo provincia ed il campo comune non sono congruenti tra loro.
E' stato valorizzato l'indirizzo della sede legale, ma l'indirizzo inserito non viene attribuito dal nostro DWI al comune indicato.
</t>
  </si>
  <si>
    <t>DQR - BND CRIF &gt; 1026 - DWI - INDIRIZZO DATORE DI LAVORE - LOCALITA NON UNIVOCA</t>
  </si>
  <si>
    <t xml:space="preserve">Errore che riguarda solo la contribuzione NON RATEALE
L'errore viene generato a fronte di tre possibili situazioni:
sono stati valorizzati i dati di residenza del datore di lavoro, ma la mancata valorizzazione della provincia non ha permesso il riconoscimento della località.
Sono stati valorizzati i dati di residenza del datore di lavoro, ma il campo provincia ed il campo comune non sono congruenti tra loro.
Sono stati valorizzati i dati di residenza del datore di lavoro, ma l'indirizzo inserito non viene attribuito dal nostro DWI al comune indicato.
</t>
  </si>
  <si>
    <t>DQR - BND CRIF &gt; 1027 - DWI - DOCUMENTO LOCALITA NON UNIVOCA</t>
  </si>
  <si>
    <t xml:space="preserve">Errore che riguarda solo la contribuzione NON RATEALE
L'errore viene generato a fronte di tre possibili situazioni:
sono stati valorizzati i dati della località (residenza) di rilascio del documento, ma la mancata valorizzazione della provincia non ha permesso il riconoscimento della località.
Sono stati valorizzati i dati della località (residenza) di rilascio del documento, ma il campo provincia ed il campo comune non sono congruenti tra loro,
Sono stati valorizzati i dati della località (residenza) di rilascio del documento, ma l'indirizzo inserito non viene attribuito dal nostro DWI al comune indicato.
</t>
  </si>
  <si>
    <t>DQR - BND CRIF &gt; 1028 - DWI - INDIRIZZO RESIDENZA - LOCALITA NON TROVATA</t>
  </si>
  <si>
    <t xml:space="preserve">L'errore viene generato a fronte di tre possibili situazioni:
Il campo del Comune di residenza è stato valorizzato in modo errato.
E' stata inserita la frazione o quartiere e non il comune di residenza;
E' stato inserito il comune di residenza ad oggi soppresso e pertanto è necessario aggiornarlo con il nuovo.
</t>
  </si>
  <si>
    <t>DQR - BND CRIF &gt; 1029 - DWI - INDIRIZZO SEDE LEGALE - LOCALITA NON TROVATA</t>
  </si>
  <si>
    <t>Nel campo in questione va inserito il Comune della sede legale nel caso di soggetto giuridico (società).L'errore si genera a fronte di errata valorizzazione delle informazioni richieste e indicate sopra.</t>
  </si>
  <si>
    <t xml:space="preserve">DQR - BND CRIF &gt; 102 - DATO OBBLIGATORIO MANCANTE: CODICE DIPENDENZA   </t>
  </si>
  <si>
    <t xml:space="preserve">Errore che riguarda solo la contribuzione RATEALE.
L'errore si genera poiché il campo obbligatorio relativo al “codice dipendenza” non è stato valorizzato.
</t>
  </si>
  <si>
    <t>DQ Contribuzione CRIF - Contratti [Ctg]</t>
  </si>
  <si>
    <t xml:space="preserve">DQR - BND CRIF &gt; 102 - PROVENIENZA CODICE FISCALE OBBLIGATORIO SE CODICE FISCALE PRESENTE  </t>
  </si>
  <si>
    <t>Il campo “Flag per codice fiscale calcolato” deve essere valorizzato se presente l‟informazione (obbligatoria da tracciato) del Codice Fiscale.</t>
  </si>
  <si>
    <t>DQR - BND CRIF &gt; 1032 - DWI - INDIRIZZO RESIDENZA - VIA NON TROVATA O NON UNIVOCA</t>
  </si>
  <si>
    <t xml:space="preserve">La corretta modalità di valorizzazione del campo “INDIRIZZO RESIDENZA” è: Via, N° Civico.
Pertanto l'errore si può generare a fronte di:
Errata valorizzazione del campo.
La via inserita esiste anche in altro comune diverso da quello inviato.
</t>
  </si>
  <si>
    <t>DQR - BND CRIF &gt; 1033 - DWI - INDIRIZZO SEDE LEGALE - VIA NON TROVATA O NON UNIVOCA</t>
  </si>
  <si>
    <t>Nel campo in questione va valorizzata la via in cui è presente la sede legale nel caso di soggetto giuridico (società). L'errore si genera a fronte di errata valorizzazione delle informazioni richieste e indicate sopra.</t>
  </si>
  <si>
    <t>DQR - BND CRIF &gt; 1034 - DWI - INDIRIZZO DATORE DI LAVORO - VIA NON TROVATA O NON UNIVOCA</t>
  </si>
  <si>
    <t xml:space="preserve">Errore che riguarda solo la contribuzione NON RATEALE.
Il campo va valorizzato con l'indirizzo della sede del datore di lavoro. Se questo è stato erroneamente valorizzato o non è univoco viene generata anomalia
</t>
  </si>
  <si>
    <t>DQR - BND CRIF &gt; 1035 - DWI - INDIRIZZO RESIDENZA - VIA NON DIGITATA</t>
  </si>
  <si>
    <t xml:space="preserve">L'errore si genera a fronte di errata valorizzazione dell'indirizzo di residenza (esempio è stato inserita davanti la via “c/o – presso”) o di totale assenza di informazioni.
Ricordiamo che le informazioni riguardo i dati della residenza e del domicilio devono essere sempre compilati tutti, se compilati parzialmente (esempio solo il CAP e l’indirizzo) viene generata anomalia sull’intero set di informazioni.
</t>
  </si>
  <si>
    <t>DQR - BND CRIF &gt; 1036 - DWI - INDIRIZZO SEDE LEGALE - VIA NON DIGITATA</t>
  </si>
  <si>
    <t xml:space="preserve">L'errore si genera a fronte di errata valorizzazione dell'indirizzo della sede legale della società oggetto di segnalazione (esempio è stato inserita davanti la via “c/o – presso”) o per totale assenza d'informazioni.
Ricordiamo che le informazioni riguardo i dati della residenza e del domicilio devono essere sempre compilati tutti, se compilati parzialmente viene generata anomalia sull’intero set di informazioni.
</t>
  </si>
  <si>
    <t>DQR - BND CRIF &gt; 1037 - DWI - INDIRIZZO DATORE DI LAVORO - VIA NON DIGITATA</t>
  </si>
  <si>
    <t xml:space="preserve">Errore che riguarda solo la contribuzione NON RATEALE
L'errore si genera a fronte di errata valorizzazione dell'indirizzo del datore di lavoro (esempio è stato inserita davanti la via “c/o – presso”) o per totale assenza d'informazione.
Ricordiamo che le informazioni riguardo i dati della residenza e del domicilio devono essere sempre compilati tutti, se compilati parzialmente viene generata anomalia sull’intero set di informazioni
</t>
  </si>
  <si>
    <t>DQR - BND CRIF &gt; 1038 - DWI - NOME NON DIGITATO</t>
  </si>
  <si>
    <t>L'errore si genera poiché il campo nome, da valorizzare obbligatoriamente, non è stato indicato, oppure risulta compilato con soli caratteri speciali.</t>
  </si>
  <si>
    <t>DQR - BND CRIF &gt; 1039 - DWI - COGNOME NON DIGITATO</t>
  </si>
  <si>
    <t>L'errore si genera poiché il campo cognome, da valorizzare obbligatoriamente, non è stato indicato, oppure risulta compilato con soli caratteri speciali.</t>
  </si>
  <si>
    <t xml:space="preserve">DQR - BND CRIF &gt; 103 - DATO OBBLIGATORIO MANCANTE: CODICE CONTRATTO DA ENTE MANCANTE </t>
  </si>
  <si>
    <t xml:space="preserve">Errore che riguarda solo la contribuzione RATEALE.
L'errore si genera poiché il campo obbligatorio relativo al “codice operazione rapporto” non è stato valorizzato.
</t>
  </si>
  <si>
    <t>DQR - BND CRIF &gt; 1040 - DWI CODICE FISCALE INCONGRUENTE CON I DATI ANAGRAFICI</t>
  </si>
  <si>
    <t>L'errore si genera poiché il campo Codice Fiscale risulta essere non congruente con i dati anagrafici del soggetto segnalato.</t>
  </si>
  <si>
    <t>DQR - BND CRIF &gt; 1042 - DWI - SESSO NON DIGITATO</t>
  </si>
  <si>
    <t>Il campo sesso, che risulta obbligatorio, non è stato valorizzato.</t>
  </si>
  <si>
    <t>DQR - BND CRIF &gt; 1043 - DWI - DATA DI NASCITA ERRATA</t>
  </si>
  <si>
    <t xml:space="preserve">L'errore si genera poiché la data di nascita inserita risulta essere incongruente con i dati anagrafici del soggetto inviato. E' possibile che siano stati inseriti anche caratteri errati.
Ricordiamo che il formato da utilizzare deve essere ggmmaaaa
</t>
  </si>
  <si>
    <t>DQR - BND CRIF &gt; 1044 - DWI - Sesso errato</t>
  </si>
  <si>
    <t>Il campo Sesso non è stato valorizzato in maniera congruente rispetto al nominativo inviato.</t>
  </si>
  <si>
    <t>DQR - BND CRIF &gt; 1045 - DWI - COMUNE DI NASCITA ERRATO</t>
  </si>
  <si>
    <t>Il campo Comune di Nascita non è stato valorizzato correttamente o è possibile che il comune indicato non sia congruente con il codice fiscale (codice catastale).</t>
  </si>
  <si>
    <t>DQR - BND CRIF &gt; 1046 - DWI - COMUNE DI NASCITA NON TROVATO</t>
  </si>
  <si>
    <t xml:space="preserve">L’errore si genera poiché :
Il valore inserito nel campo Comune di Nascita risulta essere errato
la Provincia inserita non è congruente con il Comune inserito.
Il codice catastale indicato nel codice fiscale non è congruente con il Comune di Nascita indicato.
</t>
  </si>
  <si>
    <t>DQR - BND CRIF &gt; 1047 - DWI - LOCALITA DI NASCITA NON UNIVOCA</t>
  </si>
  <si>
    <t>Sono stati valorizzati i dati di nascita del soggetto, ma la mancata valorizzazione della provincia di nascita, non ha permesso il riconoscimento della località che risulta essere plurima.</t>
  </si>
  <si>
    <t>DQR - BND CRIF &gt; 1048 - DWI - DATORE DI LAVORO - CODICE FISCALE PG ERRATO</t>
  </si>
  <si>
    <t xml:space="preserve">Errore che riguarda solo la contribuzione NON RATEALE
Il campo Codice Fiscale, per la persona giuridica (PG), del datore di lavoro è stato valorizzato in modo errato.
</t>
  </si>
  <si>
    <t>DQR - BND CRIF &gt; 1049 - DWI - PARTITA IVA ERRATA</t>
  </si>
  <si>
    <t>Il check sulla Partita IVA ha evidenziato un errore.</t>
  </si>
  <si>
    <t xml:space="preserve">DQR - BND CRIF &gt; 104 - DATO OBBLIGATORIO MANCANTE: FASE OPERAZIONE </t>
  </si>
  <si>
    <t xml:space="preserve">Errore che riguarda solo la contribuzione RATEALE.
L'errore si genera poiché il campo obbligatorio relativo alla “fase operazione” non è stato valorizzato.
</t>
  </si>
  <si>
    <t>DQR - BND CRIF &gt; 1051 - DWI - SOCIETA CODICE FISCALE PG ERRATO</t>
  </si>
  <si>
    <t>Il check sul Codice Fiscale della persona giuridica (PG) ha evidenziato un errore.</t>
  </si>
  <si>
    <t>DQR - BND CRIF &gt; 1055 - DWI - COMUNE DI NASCITA NON DIGITATO</t>
  </si>
  <si>
    <t xml:space="preserve">L'errore si è generato a fronte della mancata valorizzazione del campo obbligatorio Comune di Nascita. 
Oppure potrebbero essere stati inseriti caratteri non validi e non riconosciuti dal sistema.
</t>
  </si>
  <si>
    <t>DQR - BND CRIF &gt; 1057 - DWI - CODICE FISCALE DIFFERENZIATO PER OMONOMIA</t>
  </si>
  <si>
    <t xml:space="preserve">Il Codice Fiscale indicato per il soggetto, corrisponde, per omonimia, anche ad un altro soggetto censito. 
Questo errore viene rilevato/restituito solo nel caso in cui l'anagrafica in questione presenti anche un'altra tipologia di errore.
</t>
  </si>
  <si>
    <t>DQR - BND CRIF &gt; 1059 - DWI - SESSO NON CONGRUENTE CON NOME (FORZABILE)</t>
  </si>
  <si>
    <t xml:space="preserve">DQR - BND CRIF &gt; 105 - ERRORE DI DOMINIO: FASE OPERAZIONE </t>
  </si>
  <si>
    <t>Validity</t>
  </si>
  <si>
    <t xml:space="preserve">Errore che riguarda solo la contribuzione RATEALE.
L'errore si genera poiché il campo relativo alla “fase operazione” è stato compilato con dei domini non accessibili.
</t>
  </si>
  <si>
    <t>DQR - BND CRIF &gt; 1060 - DWI - LOCALITA DI NASCITA NON UNIVOCA - INSERIRE LA PROVINCIA</t>
  </si>
  <si>
    <t xml:space="preserve">Il campo Provincia di Nascita (sigla automobilistica) non è definito come campo singolo nel tracciato di contribuzione, ma và inserito nel campo comune di nascita separato dalla virgola . 
In questo caso l'errore si genera poiché non è stato indicato tale valore.
</t>
  </si>
  <si>
    <t>DQR - BND CRIF &gt; 1061 - DWI - INDIRIZZO RESIDENZA - VIA NON UNIVOCA</t>
  </si>
  <si>
    <t xml:space="preserve">La via inserita non è scritta correttamente o è possibile che il comune di residenza indicato non permetta il riconoscimento dell'indirizzo segnalato.
E' pertanto necessario compilare il campo con le informazioni corrette. Verificare inoltre il corretto prefisso (Via, Viale, Piazza …).
</t>
  </si>
  <si>
    <t>DQR - BND CRIF &gt; 1062 - DWI - INDIRIZZO SEDE LEGALE -  VIA NON UNIVOCA</t>
  </si>
  <si>
    <t xml:space="preserve">La via inserita non è scritta correttamente o è possibile che il comune di residenza indicato, della sede legale, non permetta il riconoscimento dell'indirizzo segnalato.
E' pertanto necessario compilare il campo con le informazioni corrette. Verificare inoltre il corretto prefisso (Via, Viale, Piazza …).
</t>
  </si>
  <si>
    <t>DQR - BND CRIF &gt; 1063 - DWI - INDIRIZZO DATORE DI LAVORO -  VIA NON UNIVOCA</t>
  </si>
  <si>
    <t xml:space="preserve">Errore che riguarda solo la contribuzione NON RATEALE
La via inserita non è scritta correttamente o è possibile che il comune di residenza indicato, del datore di lavoro, non permetta il riconoscimento dell'indirizzo segnalato.
E' pertanto necessario compilare il campo con le informazioni corrette. Verificare inoltre il corretto prefisso (Via, Viale, Piazza …).
</t>
  </si>
  <si>
    <t>DQR - BND CRIF &gt; 1064 - DWI - INDIRIZZO DOMICILIO - VIA UNIVOCA</t>
  </si>
  <si>
    <t xml:space="preserve">La via inserita non è scritta correttamente o è possibile che il comune di domicilio indicato non permetta il riconoscimento dell'indirizzo segnalato.
E' pertanto necessario compilare il campo con le informazioni corrette. Verificare inoltre il corretto prefisso (Via, Viale, Piazza …).
</t>
  </si>
  <si>
    <t xml:space="preserve">DQR - BND CRIF &gt; 106 - DATO OBBLIGATORIO MANCANTE: DATA RICHIESTA FINANZIAMENTO </t>
  </si>
  <si>
    <t xml:space="preserve">Errore che riguarda solo la contribuzione RATEALE.
L'errore si genera poiché il campo obbligatorio relativo alla “data richiesta finanziamento” non è stato valorizzato.
</t>
  </si>
  <si>
    <t xml:space="preserve">DQR - BND CRIF &gt; 107 - PARTITA IVA NON NUMERICA </t>
  </si>
  <si>
    <t>Il Campo Partita IVA è stato valorizzato con caratteri non numerici.</t>
  </si>
  <si>
    <t xml:space="preserve">DQR - BND CRIF &gt; 107 - TIPO ERRATO:  DATA RICHIESTA FINANZIAMENTO </t>
  </si>
  <si>
    <t xml:space="preserve">Errore che riguarda solo la contribuzione RATEALE.
L'errore si genera poiché il campo relativo alla “data richiesta finanziamento” non è stato compilato correttamente.
</t>
  </si>
  <si>
    <t xml:space="preserve">DQR - BND CRIF &gt; 108 - DATA DI NASCITA NON NUMERICA O FORMALMENTE ERRATA </t>
  </si>
  <si>
    <t xml:space="preserve">Il campo Data di Nascita è stato valorizzato erroneamente a fronte di due possibili situazioni: 
Sono presenti caratteri non numerici. Ricordiamo che il formato della data deve essere ggmmaaaa. 
E' errata. Esempio 31022009. 
</t>
  </si>
  <si>
    <t xml:space="preserve">DQR - BND CRIF &gt; 108 - DATO OBBLIGATORIO MANCANTE: DATA INIZIO OPERAZIONE </t>
  </si>
  <si>
    <t xml:space="preserve">Errore che riguarda solo la contribuzione RATEALE.
L'errore si genera poiché il campo obbligatorio relativo alla “data inizio operazione” non è stato valorizzato.
</t>
  </si>
  <si>
    <t xml:space="preserve">DQR - BND CRIF &gt; 109 - TIPO ERRATO: DATA INIZIO OPERAZIONE </t>
  </si>
  <si>
    <t xml:space="preserve">Errore che riguarda solo la contribuzione RATEALE.
L'errore si genera poiché il campo relativo alla “data inizio operazione” non è stato compilato correttamente.
</t>
  </si>
  <si>
    <t xml:space="preserve">DQR - BND CRIF &gt; 110 - DATO OBBLIGATORIO MANCANTE: DATA SCADENZA PRIMA RATA </t>
  </si>
  <si>
    <t xml:space="preserve">Errore che riguarda solo la contribuzione RATEALE.
L'errore si genera poiché il campo obbligatorio relativo alla “data scadenza prima rata” non è stato valorizzato.
</t>
  </si>
  <si>
    <t xml:space="preserve">DQR - BND CRIF &gt; 111 - TIPO ERRATO :  DATA SCADENZA PRIMA RATA </t>
  </si>
  <si>
    <t xml:space="preserve">Errore che riguarda solo la contribuzione RATEALE.
L'errore si genera poiché il campo relativo alla “data scadenza prima rata” non è stato compilato correttamente.
</t>
  </si>
  <si>
    <t>DQR - BND CRIF &gt; 1124 - Indirizzo Domicilio: località non univoca</t>
  </si>
  <si>
    <t xml:space="preserve">L'errore viene generato a fronte di tre possibili situazioni:
Sono stati valorizzati i dati del domicilio, ma la mancata valorizzazione della provincia non ha permesso il riconoscimento della località.
Sono stati valorizzati i dati del domicilio, ma il campo provincia ed il campo comune non sono congruenti tra loro.
Sono stati valorizzati i dati del domicilio, ma l'indirizzo inserito non viene attribuito dal nostro DWI al comune indicato.
</t>
  </si>
  <si>
    <t>DQR - BND CRIF &gt; 1128 - Indirizzo Domicilio: località non trovata</t>
  </si>
  <si>
    <t xml:space="preserve">
L'errore viene generato a fronte di tre possibili situazioni:
Il campo del Comune del domicilio è stato valorizzato in modo errato.
E' stata inserita la frazione o quartiere e non il comune del domicilio;
E' stato inserito il comune del domicilio ad oggi soppresso e pertanto è necessario aggiornarlo con il nuovo.
</t>
  </si>
  <si>
    <t xml:space="preserve">DQR - BND CRIF &gt; 112 - DATA SCADENZA PRIMA RATA VALORIZZATA PER TIPO OPERAZIONE = 'CS' </t>
  </si>
  <si>
    <t xml:space="preserve">Errore che riguarda solo la contribuzione RATEALE.
L'errore si genera poiché è stato valorizzato il campo “data scadenza prima rata” non previsto per il tipo operazione CS (carta a saldo).
Si ricorda che tutte le regole di valorizzazione e di obbligatorietà sono riportate all’intero del manuale di contribuzione batch mensile.
</t>
  </si>
  <si>
    <t>DQR - BND CRIF &gt; 1132 - DWI - INDIRIZZO DOMICILIO - VIA NON TROVATA</t>
  </si>
  <si>
    <t xml:space="preserve">La via inserita non è scritta correttamente o è possibile che il comune di domicilio indicato non permetta il riconoscimento dell'indirizzo segnalato.
E' pertanto è necessario compilare il campo con le informazioni corrette. Verifica inoltre il corretto prefisso (Via, Viale, Piazza …).
</t>
  </si>
  <si>
    <t>DQR - BND CRIF &gt; 1135 - DWI - INDIRIZZO DOMICILIO - VIA NON DIGITATA</t>
  </si>
  <si>
    <t xml:space="preserve">DQR - BND CRIF &gt; 113 - DATO OBBLIGATORIO MANCANTE: DATA FINE OPERAZIONE </t>
  </si>
  <si>
    <t xml:space="preserve">Errore che riguarda solo la contribuzione RATEALE.
L'errore si genera poiché il campo obbligatorio relativo alla “data fine operazione” non è stato valorizzato.
</t>
  </si>
  <si>
    <t xml:space="preserve">DQR - BND CRIF &gt; 114 - TIPO ERRATO: DATA FINE OPERAZIONE </t>
  </si>
  <si>
    <t xml:space="preserve">DQR - BND CRIF &gt; 115 - DATA FINE OPERAZIONE VALORIZZATA PER CONTRATTI NON PERFEZIONATI </t>
  </si>
  <si>
    <t xml:space="preserve">Errore che riguarda solo la contribuzione RATEALE.
L'errore si genera poiché è stato valorizzato il campo “data fine operazione” che è obbligatorio solo nel caso in cui la fase del contratto è AC – ES – EA. 
Nel caso specifico dell'errore è stato valorizzata la data di fine operazione per contratti che presentano una fase operazione RF ( pratica rifiutata dall'ente ) e RN ( pratica rinunciata dal cliente).
</t>
  </si>
  <si>
    <t xml:space="preserve">DQR - BND CRIF &gt; 116 - TIPO ERRATO: TIPO PAGAMENTO </t>
  </si>
  <si>
    <t xml:space="preserve">Errore che riguarda solo la contribuzione RATEALE.
L'errore si genera poiché il campo relativo al “tipo pagamento” non è stato compilato correttamente.
</t>
  </si>
  <si>
    <t xml:space="preserve">DQR - BND CRIF &gt; 117 - ERRORE DI DOMINIO: TIPO PAGAMENTO </t>
  </si>
  <si>
    <t xml:space="preserve">Errore che riguarda solo la contribuzione RATEALE.
L'errore si genera poiché il campo relativo al “tipo pagamento” è stato compilato con dei domini non accessibili.
</t>
  </si>
  <si>
    <t xml:space="preserve">DQR - BND CRIF &gt; 118 - TIPO ERRATO: GARANZIE PERSONALI </t>
  </si>
  <si>
    <t xml:space="preserve">DQR - BND CRIF &gt; 119 - ERRORE DI DOMINIO: GARANZIE PERSONALI </t>
  </si>
  <si>
    <t xml:space="preserve">Errore che riguarda solo la contribuzione RATEALE.
L'errore si genera poiché il campo relativo alle “garanzie personali” è stato compilato con dei domini non accessibili.
</t>
  </si>
  <si>
    <t xml:space="preserve">DQR - BND CRIF &gt; 120 - TIPO ERRATO: GARANZIE REALI </t>
  </si>
  <si>
    <t xml:space="preserve">Errore che riguarda solo la contribuzione RATEALE.
L'errore si genera poiché il campo relativo alle “garanzie reali” non è stato compilato correttamente.
</t>
  </si>
  <si>
    <t xml:space="preserve">DQR - BND CRIF &gt; 121 - ERRORE DI DOMINIO: GARANZIE REALI </t>
  </si>
  <si>
    <t xml:space="preserve">Errore che riguarda solo la contribuzione RATEALE.
L'errore si genera poiché il campo relativo alle “garanzie reali” è stato compilato con dei domini non accessibili.
</t>
  </si>
  <si>
    <t>DQR - BND CRIF &gt; 122 DATO OBBLIGATORIO MANCANTE: IMPORTO CAPITALE FINANZIATO</t>
  </si>
  <si>
    <t xml:space="preserve">Errore che riguarda solo la contribuzione RATEALE.
L'errore si genera poiché il campo obbligatorio relativo all'“importo capitale finanziato” non è stato valorizzato.
</t>
  </si>
  <si>
    <t>DQR - BND CRIF &gt; 123 TIPO ERRATO: IMPORTO CAPITALE FINANZIATO</t>
  </si>
  <si>
    <t xml:space="preserve">Errore che riguarda solo la contribuzione RATEALE.
L'errore si genera poiché il campo relativo all'“importo capitale finanziato” non è stato compilato correttamente.
</t>
  </si>
  <si>
    <t xml:space="preserve">DQR - BND CRIF &gt; 124 - IMPORTO CAPITALE FINANZIATO FUORI DAI LIMITI STABILITI </t>
  </si>
  <si>
    <t xml:space="preserve">Errore che riguarda solo la contribuzione RATEALE.
L'errore si genera poiché il campo relativo all'“importo capitale finanziato” presenta un importo che non rientra nelle soglie minimali/massimali stabilite dal sistema per impedire possibili errori di segnalazioni.
</t>
  </si>
  <si>
    <t xml:space="preserve">DQR - BND CRIF &gt; 125 - DATO OBBLIGATORIO MANCANTE: NUMERO RATE </t>
  </si>
  <si>
    <t xml:space="preserve">Errore che riguarda solo la contribuzione RATEALE.
L'errore si genera poiché il campo obbligatorio relativo al “numero rate” non è stato valorizzato.
</t>
  </si>
  <si>
    <t xml:space="preserve">DQR - BND CRIF &gt; 126 - TIPO ERRATO: NUMERO RATE </t>
  </si>
  <si>
    <t xml:space="preserve">Errore che riguarda solo la contribuzione RATEALE.
L'errore si genera poiché il campo relativo al “numero rate” non è stato compilato correttamente.
</t>
  </si>
  <si>
    <t xml:space="preserve">DQR - BND CRIF &gt; 127 - DATO OBBLIGATORIO MANCANTE: PERIODICITA‟ PAGAMENTI </t>
  </si>
  <si>
    <t xml:space="preserve">Errore che riguarda solo la contribuzione RATEALE.
L'errore si genera poiché il campo obbligatorio relativo alla “periodicità pagamenti” non è stato valorizzato.
</t>
  </si>
  <si>
    <t xml:space="preserve">DQR - BND CRIF &gt; 128 - ERRORE DI DOMINIO: PERIODICITA‟ PAGAMENTI </t>
  </si>
  <si>
    <t xml:space="preserve">Errore che riguarda solo la contribuzione RATEALE.
L'errore si genera poiché il campo relativo alla “periodicità pagamenti” è stato compilato con dei domini non accessibili.
</t>
  </si>
  <si>
    <t xml:space="preserve">DQR - BND CRIF &gt; 129 - IMPORTO RATA IN SCADENZA VALORIZZATO PER CARTE </t>
  </si>
  <si>
    <t xml:space="preserve">Errore che riguarda solo la contribuzione RATEALE.
L'errore si genera poiché il campo “importo rata in scadenza” è stato valorizzato. Tale campo NON deve essere indicato per tipo operazione CR, CS e AR.
</t>
  </si>
  <si>
    <t>DQR - BND CRIF &gt; 12 - ANOMALIA NEL SET DI RIGHE: NEL SET ESISTE UN'OPERAZIONE CON TIPO='SE' E UN'OPERAZIONE CON TIPO &lt;&gt;( 'SE','PE' o 'FC' CON COD_FTD=1)</t>
  </si>
  <si>
    <t xml:space="preserve">Errore che riguarda solo la contribuzione NON RATEALE.
L'errore si genera a fronte di contribuzione di un set di informazioni contrattuali in cui è presente una segnalazione di evento negativo piuttosto che di fido regolare. 
Nel caso uno di questi presenti anomalia l'intero set di informazioni viene reso anomalo.
</t>
  </si>
  <si>
    <t xml:space="preserve">DQR - BND CRIF &gt; 130 - TIPO ERRATO: IMPORTO RATA IN SCADENZA </t>
  </si>
  <si>
    <t xml:space="preserve">Errore che riguarda solo la contribuzione RATEALE.
L'errore si genera poiché il campo relativo al “tipo importo rata” non è stato compilato correttamente.
</t>
  </si>
  <si>
    <t xml:space="preserve">DQR - BND CRIF &gt; 131 - ERRORE DI DOMINIO: TIPO RATA </t>
  </si>
  <si>
    <t xml:space="preserve">Errore che riguarda solo la contribuzione RATEALE.
L'errore si genera poiché il campo relativo al “tipo rata” è stato compilato con dei domini non accessibili.
</t>
  </si>
  <si>
    <t xml:space="preserve">DQR - BND CRIF &gt; 132 - TIPO RATA VALORIZZATA PER TIPO OPERAZIONE &lt;&gt; 'CR' e 'AR' </t>
  </si>
  <si>
    <t xml:space="preserve">Errore che riguarda solo la contribuzione RATEALE.
L'errore si genera poiché è stato valorizzato il campo “tipo rata” che è obbligatorio solo nel caso di tipi operazione CR e AR.
</t>
  </si>
  <si>
    <t xml:space="preserve">DQR - BND CRIF &gt; 133 - DATO OBBLIGATORIO MANCANTE: IMPORTO RATA MENSILE </t>
  </si>
  <si>
    <t xml:space="preserve">Errore che riguarda solo la contribuzione RATEALE.
L'errore si genera poiché il campo obbligatorio relativo all'”importo rata mensile” non è stato valorizzato.
</t>
  </si>
  <si>
    <t xml:space="preserve">DQR - BND CRIF &gt; 134 - TIPO ERRATO:  IMPORTO RATA MENSILE </t>
  </si>
  <si>
    <t xml:space="preserve">Errore che riguarda solo la contribuzione RATEALE.
L'errore si genera poiché il campo relativo all'”importo rata mensile” non è stato compilato correttamente.
</t>
  </si>
  <si>
    <t xml:space="preserve">DQR - BND CRIF &gt; 135 - IMPORTO RATA MENSILE FUORI DAI LIMITI STABILITI </t>
  </si>
  <si>
    <t xml:space="preserve">Errore che riguarda solo la contribuzione RATEALE.
L'errore si genera poiché il campo relativo all'“importo rata mensile” presenta un importo che non rientra nelle soglie minimali/massimali stabilite dal sistema per impedire possibili errori di segnalazioni.
</t>
  </si>
  <si>
    <t xml:space="preserve">DQR - BND CRIF &gt; 136 - IMPORTO RATA MENSILE &gt; 0 PER TIPO OPERAZIONE = 'CR' CON TIPO RATA ='V' </t>
  </si>
  <si>
    <t xml:space="preserve">Errore che riguarda solo la contribuzione RATEALE.
L'errore si genera in quanto è stato contribuito a parità di rapporto di CR l'informazione relativa all'”importo rata mensile” quando però l'indicazione del “tipo rata” è variabile.
L'informazione dell'importo rata mensile per CR va valorizzato solo se tipo rata è fisso (F).
</t>
  </si>
  <si>
    <t>DQR - BND CRIF &gt; 137 - IMPORTO RATA MENSILE INCONGRUENTE CON IMPORTO CAPITALE FINANZIATO</t>
  </si>
  <si>
    <t xml:space="preserve">Errore che riguarda solo la contribuzione RATEALE.
L'errore si genera poiché il sistema effettua dei controlli di congruenza tra l'importo del capitale finanziato – importo rata mensile – periodicità e numero rate. 
Se l'importo della rata mensile, ad esempio è troppo alto rispetto al capitale finanziato (calcolato per la periodicità e numero rate) viene generato errore. 
Tipico esempio potrebbe essere rappresentato da rapporti di credito che hanno pagamento semestrale e nell'importo rata mensile viene inserito l'intero importo pagato ogni 6 mesi anziché l'effettivo
importo suddiviso per 6 (mensile).
</t>
  </si>
  <si>
    <t xml:space="preserve">DQR - BND CRIF &gt; 138 - ERRORE DI DOMINIO: CODICE TIPO BENE </t>
  </si>
  <si>
    <t xml:space="preserve">Errore che riguarda solo la contribuzione RATEALE.
L'errore si genera poiché il campo relativo al “tipo bene” è stato compilato con dei domini non accessibili.
</t>
  </si>
  <si>
    <t xml:space="preserve">DQR - BND CRIF &gt; 139 - DATO OBBLIGATORIO MANCANTE: CODICE STATO OPERAZIONE </t>
  </si>
  <si>
    <t xml:space="preserve">Errore che riguarda solo la contribuzione RATEALE.
L'errore si genera poiché il campo obbligatorio relativo al “codice stato operazione” non è stato valorizzato.
</t>
  </si>
  <si>
    <t xml:space="preserve">DQR - BND CRIF &gt; 13 - OPERAZIONE CON TIPO&lt;&gt;( 'SE','PE' o 'FC' CON COD_FTD=1) </t>
  </si>
  <si>
    <t xml:space="preserve">Errore che riguarda solo la contribuzione NON RATEALE.
L'errore si genera a fronte di contribuzione di un set di informazioni contrattuali in cui è presente una segnalazione di evento negativo piuttosto che di fido regolare.
Nel caso uno di questi presenti anomalia l'intero set di informazioni viene reso anomalo.
</t>
  </si>
  <si>
    <t xml:space="preserve">DQR - BND CRIF &gt; 140 - ERRORE DI DOMINIO: CODICE STATO OPERAZIONE </t>
  </si>
  <si>
    <t xml:space="preserve">Errore che riguarda solo la contribuzione RATEALE.
L'errore si genera poiché il campo relativo al “codice stato operazione” è stato compilato con dei domini non accessibili.
</t>
  </si>
  <si>
    <t xml:space="preserve">DQR - BND CRIF &gt; 141 - CODICE STATO OPERAZIONE INCONGRUENTE CON LA FASE </t>
  </si>
  <si>
    <t xml:space="preserve">Errore che riguarda solo la contribuzione RATEALE.
Sono impostati da pgm dei controlli di congruenza tra fase e stato operazione.
Ricordiamo che nel tracciato di contribuzione mensile sono riportate tutte le informazioni di dettaglio.
</t>
  </si>
  <si>
    <t xml:space="preserve">DQR - BND CRIF &gt; 142 - TIPO ERRATO: NUMERO RATE RESIDUE </t>
  </si>
  <si>
    <t xml:space="preserve">Errore che riguarda solo la contribuzione RATEALE.
L'errore si genera poiché il campo relativo al ”numero rate residue” non è stato compilato correttamente.
</t>
  </si>
  <si>
    <t xml:space="preserve">DQR - BND CRIF &gt; 143 - NUMERO RATE RESIDUE &gt; 0 PER CONTRATTI ESTINTI </t>
  </si>
  <si>
    <t xml:space="preserve">Errore che riguarda solo la contribuzione RATEALE.
L'errore si genera poiché a fronte di contratto in fase ES/EA non si attendono informazioni su quanto ancora residuo o scaduto da pagare.
 Il contratto si intende chiuso quando l'interessato non deve più nulla all'istituto di credito.
</t>
  </si>
  <si>
    <t>DQR - BND CRIF &gt; 144 - NUMERO RATE RESIDUE &gt; NUMERO RATE</t>
  </si>
  <si>
    <t xml:space="preserve">Errore che riguarda solo la contribuzione RATEALE.
L'errore si genera poiché il numero delle rate residue è maggiore del numero delle rate totali.
</t>
  </si>
  <si>
    <t xml:space="preserve">DQR - BND CRIF &gt; 145 - TIPO ERRATO: IMPORTO RATE RESIDUE </t>
  </si>
  <si>
    <t xml:space="preserve">Errore che riguarda solo la contribuzione RATEALE.
L'errore si genera poiché il campo relativo all'”importo rate residue” non è stato compilato correttamente.
</t>
  </si>
  <si>
    <t xml:space="preserve">DQR - BND CRIF &gt; 146 - IMPORTO RATE RESIDUE &gt; 0  PER CONTRATTO ESTINTO </t>
  </si>
  <si>
    <t xml:space="preserve">Errore che riguarda solo la contribuzione RATEALE.
L'errore si genera poiché a fronte di contratto in fase ES/EA non si attendono informazioni su quanto ancora residuo o scaduto da pagare. 
Il contratto si intende chiuso quando l'interessato non deve più nulla all'istituto di credito.
</t>
  </si>
  <si>
    <t xml:space="preserve">DQR - BND CRIF &gt; 147 - TIPO ERRATO: DATA ULTIMO PAGAMENTO </t>
  </si>
  <si>
    <t xml:space="preserve">Errore che riguarda solo la contribuzione RATEALE.
L'errore si genera poiché il campo relativo alla ”data ultimo pagamento” non è stato compilato correttamente.
</t>
  </si>
  <si>
    <t xml:space="preserve">DQR - BND CRIF &gt; 148 - DATA ULTIMO PAGAMENTO &lt; DATA INIZIO OPERAZIONE </t>
  </si>
  <si>
    <t xml:space="preserve">Errore che riguarda solo la contribuzione RATEALE.
L'errore si genera poiché la data di ultimo pagamento risulta essere minore della data di inizio operazione.
</t>
  </si>
  <si>
    <t xml:space="preserve">DQR - BND CRIF &gt; 149 - DATA ULTIMO PAGAMENTO &gt; DATA RIFERIMENTO FILE </t>
  </si>
  <si>
    <t xml:space="preserve">Errore che riguarda solo la contribuzione RATEALE.
L'errore si genera poiché la data di ultimo pagamento risulta essere maggiore della data di riferimento del file.
</t>
  </si>
  <si>
    <t xml:space="preserve">DQR - BND CRIF &gt; 150 - TIPO ERRATO: NUMERO RATE SCADUTE NON PAGATE </t>
  </si>
  <si>
    <t xml:space="preserve">Errore che riguarda solo la contribuzione RATEALE.
L'errore si genera poiché il campo relativo al ”numero rate scadute non pagate” non è stato compilato correttamente.
</t>
  </si>
  <si>
    <t xml:space="preserve">DQR - BND CRIF &gt; 151 - NUMERO RATE SCADUTE NON PAGATE&gt; 0 PER CONTRATTI SCADUTI NON PERFEZIONATI </t>
  </si>
  <si>
    <t xml:space="preserve">Errore che riguarda solo la contribuzione RATEALE.
L'errore si genera poiché è stato valorizzato il campo “numero rate scadute non pagate” che risulta essere obbligatorio solo nel caso in cui la fase del contratto è AC – ES – EA. 
Negli altri casi (fasi RF/RN) l'informazione non va valorizzata.
</t>
  </si>
  <si>
    <t>DQR - BND CRIF &gt; 152 - NUMERO RATE SCADUTE NON PAGATE&gt; NUMERO RATE - NUMERO RATE RESIDUE</t>
  </si>
  <si>
    <t xml:space="preserve">Errore che riguarda solo la contribuzione RATEALE.
L'errore si genera poiché il numero delle rate scadute e non pagate risulta essere maggiore rispetto alla differenza tra numero rate totali e numero rate residue (numero rate totali – numero rate residue = rate che l'interessato ha pagato o per le quali è insoluto).
</t>
  </si>
  <si>
    <t xml:space="preserve">DQR - BND CRIF &gt; 153 - TIPO ERRATO: IMPORTO RATE SCADUTE NON PAGATE  </t>
  </si>
  <si>
    <t xml:space="preserve">Errore che riguarda solo la contribuzione RATEALE.
L'errore si genera poiché il campo relativo all'”importo rate scadute non pagate” non è stato compilato correttamente.
</t>
  </si>
  <si>
    <t xml:space="preserve">DQR - BND CRIF &gt; 154 - IMPORTO RATE SCADUTE NON PAGATE &gt; 0 PER CONTRATTI NON PERFEZIONATI </t>
  </si>
  <si>
    <t xml:space="preserve">Errore che riguarda solo la contribuzione RATEALE.
L'errore si genera poiché è stato valorizzato il campo “importo rate scadute non pagate” che risulta essere obbligatorio solo nel caso in cui la fase del contratto è AC – ES – EA. 
Negli altri casi (fasi RF/RN) l'informazione non va valorizzata.
</t>
  </si>
  <si>
    <t xml:space="preserve">DQR - BND CRIF &gt; 155 - DATO OBBLIGATORIO MANCANTE: CODICE PROVINCIA DIPENDENZA </t>
  </si>
  <si>
    <t xml:space="preserve">Errore che riguarda solo la contribuzione RATEALE.
L'errore si genera poiché il campo obbligatorio relativo al “codice provincia dipendenza” non è stato valorizzato.
</t>
  </si>
  <si>
    <t>DQR - BND CRIF &gt; 156 - DATO OBBLIGATORIO MANCANTE: IMPORTO FIDO DI CONTO</t>
  </si>
  <si>
    <t xml:space="preserve">Errore che riguarda solo la contribuzione RATEALE.
L'errore si genera poiché il campo obbligatorio (per CR/CS/AR) relativo all'“importo fido di conto” non è stato valorizzato.
</t>
  </si>
  <si>
    <t xml:space="preserve">DQR - BND CRIF &gt; 157 - TIPO ERRATO: IMPORTO FIDO DI CONTO </t>
  </si>
  <si>
    <t xml:space="preserve">Errore che riguarda solo la contribuzione RATEALE.
L'errore si genera poiché il campo relativo all'”importo fido di conto” non è stato compilato correttamente.
</t>
  </si>
  <si>
    <t xml:space="preserve">DQR - BND CRIF &gt; 158 - IMPORTO FIDO DI CONTO FUORI DAI LIMITI STABILITI </t>
  </si>
  <si>
    <t xml:space="preserve">Errore che riguarda solo la contribuzione RATEALE.
L'errore si genera poiché il campo relativo all'“importo fido di conto” presenta un importo che non rientra nelle soglie minimali/massimali stabilite dal sistema per impedire possibili errori di segnalazioni.
</t>
  </si>
  <si>
    <t xml:space="preserve">DQR - BND CRIF &gt; 159 - DATO OBBLIGATORIO MANCANTE: FLAG TIPO AGGIORNAMENTO </t>
  </si>
  <si>
    <t xml:space="preserve">Errore che riguarda solo la contribuzione RATEALE.
L'errore si genera poiché il campo obbligatorio relativo al “flag tipo aggiornamento” non è stato valorizzato.
</t>
  </si>
  <si>
    <t xml:space="preserve">DQR - BND CRIF &gt; 160 - ERRORE DI DOMINIO:  FLAG TIPO AGGIORNAMENTO  </t>
  </si>
  <si>
    <t xml:space="preserve">Errore che riguarda solo la contribuzione RATEALE.
L'errore si genera poiché il campo relativo al “flag tipo aggiornamento” è stato compilato con dei domini non accessibili.
</t>
  </si>
  <si>
    <t xml:space="preserve">DQR - BND CRIF &gt; 173 - TIPO ERRATO: DATA ULTIMO ADDEBITO </t>
  </si>
  <si>
    <t xml:space="preserve">Errore che riguarda solo la contribuzione RATEALE.
L'errore si genera poiché il campo relativo alla ”data ultimo addebito” non è stato compilato correttamente
Ricordiamo che il formato data ammissibile è ggmmaaaa.
</t>
  </si>
  <si>
    <t xml:space="preserve">DQR - BND CRIF &gt; 174 - DATO OBBLIGATORIO MANCANTE: DATA RIFERIMENTO CARTA </t>
  </si>
  <si>
    <t xml:space="preserve">Errore che riguarda solo la contribuzione RATEALE.
L'errore si genera poiché il campo obbligatorio relativo alla “data riferimento carta” non è stato valorizzato.
</t>
  </si>
  <si>
    <t xml:space="preserve">DQR - BND CRIF &gt; 175 - TIPO ERRATO: DATA RIFERIMENTO CARTA </t>
  </si>
  <si>
    <t xml:space="preserve">Errore che riguarda solo la contribuzione RATEALE.
L'errore si genera poiché il campo relativo alla ”data riferimento carta” non è stato compilato correttamente
Ricordiamo che il formato data ammissibile è ggmmaaaa.
</t>
  </si>
  <si>
    <t xml:space="preserve">DQR - BND CRIF &gt; 176 - DATA RIFERIMENTO CARTA VALORIZZATA PER CONTRATTI &lt;&gt; DA CARTE </t>
  </si>
  <si>
    <t xml:space="preserve">Errore che riguarda solo la contribuzione RATEALE.
L'errore si genera poiché è stato valorizzato il campo “data riferimento carta” per operazioni non riconducibili a carte di credito (CR – CS) o aperture revolving. (AR).
</t>
  </si>
  <si>
    <t xml:space="preserve">DQR - BND CRIF &gt; 179 - RT_CONTROLLO INCROCIATO: DATA RIFERIMENTO CARTA &lt; DATA INIZIO OPERAZIONE </t>
  </si>
  <si>
    <t xml:space="preserve">Errore che riguarda solo la contribuzione RATEALE.
L'errore si genera poiché il sistema effettua dei controlli di congruenza tra le varie informazioni inserite tra cui quelle tra la data di riferimento carta e data inizio operazione.
In questo caso la data di riferimento carta è minore della data di inizio operazione ciò vuol dire che è stato segnalato il rapporto di credito prima ancora dell'inizio rapporto stesso.
</t>
  </si>
  <si>
    <t>DQR - BND CRIF &gt; 17 - CONTRATTO IN INSERIMENTO CON STATO &lt;&gt; W E GIA‟ CONTRIBUITO BATCH</t>
  </si>
  <si>
    <t xml:space="preserve">Errore che riguarda solo la contribuzione NON RATEALE.
L'errore si genera a fronte di contribuzione di un set di informazioni contrattuali in cui è presente una segnalazione di evento negativo piuttosto che di fido regolare.
Nel caso uno di questi presenti anomalia l'intero set di informazioni viene reso anomalo.
Ricordiamo che il contratto va inviato nuovo solo la prima volta assieme all’intero set di anagrafiche collegate (entrambe con flag inserimento/variazione = 0).                                                                             Successivamente l’invio dei dati del contratto dovrà avvenire mensilmente (tranne che per i casi di contratti a sofferenza – vedere specifiche manuale di contribuzione) fino alla chiusura del contratto.
Unico caso in cui è possibile rinviare il contratto in inserimento, a parità di stesso codice operazione rapporto già censito e presente in EURISC, riguarda le posizioni oggetto di ”accollo tecnico” o nel caso di “ristrutturazione” (vedere specifiche sul manuale di contribuzione).
</t>
  </si>
  <si>
    <t xml:space="preserve">DQR - BND CRIF &gt; 180 - RT_CONTROLLO INCROCIATO: DATA RIFERIMENTO CARTA &lt;= DATA RIFERIMENTO FILE </t>
  </si>
  <si>
    <t xml:space="preserve">Errore che riguarda solo la contribuzione RATEALE.
L'errore si genera poiché il sistema effettua dei controlli di congruenza tra le varie informazioni inserite tra cui quelle tra la data di riferimento carta e data riferimento file.
In questo caso la data di riferimento carta è minore uguale alla data di riferimento file.
</t>
  </si>
  <si>
    <t xml:space="preserve">DQR - BND CRIF &gt; 182 - RT_CONTROLLO INCROCIATO: DATA ULTIMO ADDEBITO &lt; DATA INIZIO OPERAZIONE </t>
  </si>
  <si>
    <t xml:space="preserve">Errore che riguarda solo la contribuzione RATEALE.
L'errore si genera poiché il sistema effettua dei controlli di congruenza tra le varie informazioni inserite tra cui quelle tra la data ultimo addebito e data inizio operazione.
In questo caso la data ultimo addebito è minore della data di inizio operazione.
</t>
  </si>
  <si>
    <t xml:space="preserve">DQR - BND CRIF &gt; 183 - RT_CONTROLLO INCROCIATO: DATA ULTIMO ADDEBITO &gt; DATA RIFERIMENTO CARTA </t>
  </si>
  <si>
    <t xml:space="preserve">Errore che riguarda solo la contribuzione RATEALE.
L'errore si genera poiché il sistema effettua dei controlli di congruenza tra le varie informazioni inserite tra cui quelle tra la data ultimo addebito e data riferimento carta.
In questo caso la data ultimo addebito è maggiore della data di inizio operazione.
</t>
  </si>
  <si>
    <t xml:space="preserve">DQR - BND CRIF &gt; 186 - RT_CONTROLLO INCROCIATO: NUMERO RATE SCADUTE NON PAGATE&gt; 0  e  IMPORTO RATE SCADUTE NON PAGATE = 0 </t>
  </si>
  <si>
    <t xml:space="preserve">Errore che riguarda solo la contribuzione RATEALE.
L'errore si genera poiché il sistema effettua dei controlli di congruenza tra le varie informazioni inserite tra cui quelle tra numero ed importo rate scadute.
In questo caso il numero delle rate scadute è maggiore di zero, mentre l'importo è stato valorizzato a zero.
</t>
  </si>
  <si>
    <t xml:space="preserve">DQR - BND CRIF &gt; 187 - RT_CONTROLLO INCROCIATO: NUMERO RATE RESIDUE = 0 e  IMPORTO RATE RESIDUE &gt; 0 </t>
  </si>
  <si>
    <t xml:space="preserve">Errore che riguarda solo la contribuzione RATEALE.
L'errore si genera poiché il sistema effettua dei controlli di congruenza tra le varie informazioni inserite tra cui quelle tra numero ed importo rate residue.
In questo caso l'importo delle rate residue è maggiore di zero, mentre il numero delle rate è stato valorizzato a zero.
</t>
  </si>
  <si>
    <t xml:space="preserve">DQR - BND CRIF &gt; 188 - RT_CONTROLLO INCROCIATO: DATA INIZIO OPERAZIONE &lt;= DATA RICHIESTA FINANZIAMENTO </t>
  </si>
  <si>
    <t xml:space="preserve">Errore che riguarda solo la contribuzione RATEALE.
L'errore si genera poiché il sistema effettua dei controlli di congruenza tra le varie informazioni inserite tra cui quelle tra la data inizio operazione e la data di richiesta finanziamento
In questo caso la data inizio operazione è minore uguale alla data richiesta finanziamento.
</t>
  </si>
  <si>
    <t>DQR - BND CRIF &gt; 189 - RT_CONTROLLO INCROCIATO: DATA SCADENZA PRIMA RATA &lt; DATA INIZIO OPERAZIONE</t>
  </si>
  <si>
    <t xml:space="preserve">Errore che riguarda solo la contribuzione RATEALE.
L'errore si genera poiché il sistema effettua dei controlli di congruenza tra le varie informazioni inserite tra cui quelle tra la data scadenza prima rata e la data inizio operazione.
In questo caso la data scadenza prima rata è minore della data inizio operazione.
</t>
  </si>
  <si>
    <t xml:space="preserve">DQR - BND CRIF &gt; 190 - RT_CONTROLLO INCROCIATO: DATA FINE OPERAZIONE &lt;= DATA  INIZIO OPERAZIONE </t>
  </si>
  <si>
    <t xml:space="preserve">Errore che riguarda solo la contribuzione RATEALE.
L'errore si genera poiché il sistema effettua dei controlli di congruenza tra le varie informazioni inserite tra cui quelle tra la data di fine operazione e la data di inizio operazione.
In questo caso la data fine operazione è minore uguale alla data di inizio operazione.
</t>
  </si>
  <si>
    <t xml:space="preserve">DQR - BND CRIF &gt; 191 - RT_CONTROLLO INCROCIATO: DATA FINE OPERAZIONE &lt; DATA SCADENZAPRIMA RATA </t>
  </si>
  <si>
    <t xml:space="preserve">Errore che riguarda solo la contribuzione RATEALE.
L'errore si genera poiché il sistema effettua dei controlli di congruenza tra le varie informazioni inserite tra cui quelle tra la data di fine operazione e la data scadenza prima rata.
In questo caso la data di fine operazione è minore della data scadenza prima rata.
</t>
  </si>
  <si>
    <t xml:space="preserve">DQR - BND CRIF &gt; 193 - NUMERO RATE RESIDUE &gt; 0  PER CATEGORIA CARTE </t>
  </si>
  <si>
    <t xml:space="preserve">Errore che riguarda solo la contribuzione RATEALE.
L'errore si genera poiché è stato valorizzato il campo “numero rate residue” per tipo operazione carte (saldo).
</t>
  </si>
  <si>
    <t>DQR - BND CRIF &gt; 194 - CODICE FISCALE NUMERICO SOLO PER SOCIETA'</t>
  </si>
  <si>
    <t>Il campo del Codice Fiscale per persona fisica è stato valorizzato con caratteri numerici.</t>
  </si>
  <si>
    <t xml:space="preserve">DQR - BND CRIF &gt; 194 - RT_CONTROLLO INCROCIATO: NUMERO RATE RESIDUE &gt; 0 e  IMPORTO RATE RESIDUE = 0  </t>
  </si>
  <si>
    <t xml:space="preserve">Errore che riguarda solo la contribuzione RATEALE.
L'errore si genera poiché il sistema effettua dei controlli di congruenza tra le varie informazioni inserite tra cui quelle tra numero ed importo rate residue.
In questo caso il numero delle rate residue è maggiore di zero, mentre l'importo è stato valorizzato a zero.
</t>
  </si>
  <si>
    <t>DQR - BND CRIF &gt; 195 - IMPORTO RATA MENSILE VALORIZZATA PER TIPO OPERAZIONE ='CS'</t>
  </si>
  <si>
    <t xml:space="preserve">Errore che riguarda solo la contribuzione RATEALE.
L'errore si genera poiché è stato valorizzato il campo “importo rata mensile” per tipo operazione carte a saldo.
</t>
  </si>
  <si>
    <t xml:space="preserve">DQR - BND CRIF &gt; 196 - RT_CONTROLLO INCROCIATO: NUMERO RATE SCADUTE NON PAGATE= 0  e  IMPORTO RATE SCADUTE NON PAGATE &gt; 0  </t>
  </si>
  <si>
    <t xml:space="preserve">Errore che riguarda solo la contribuzione RATEALE.
L'errore si genera poiché il sistema effettua dei controlli di congruenza tra le varie informazioni inserite tra cui quelle tra numero ed importo rate scadute.
In questo caso l'importo delle rate scadute è maggiore di zero, mentre il numero è stato valorizzato a zero.
</t>
  </si>
  <si>
    <t>DQR - BND CRIF &gt; 197 - NUMERO RATE SCADUTE NON PAGATE &gt; 0 PER CONTRATTI DI TIPO 'CS'</t>
  </si>
  <si>
    <t xml:space="preserve">Errore che riguarda solo la contribuzione RATEALE.
L'errore si genera poiché è stato valorizzato il campo “numero rate scadute e non pagate” per tipo operazione carte a saldo.
</t>
  </si>
  <si>
    <t xml:space="preserve">DQR - BND CRIF &gt; 19 - FASE OPERAZIONE IN DB&lt;&gt;'AC' e STATO OPERAZIONE IN INPUT ='W' </t>
  </si>
  <si>
    <t xml:space="preserve">Errore che riguarda solo la contribuzione RATEALE.
L'errore si genera a fronte di invio del contratto con stato operazione “W” e fase operazione &lt;&gt;  "AC‟. 
Le specifiche riportate nel manuale di contribuzione batch mensile, indicano che lo stato “W” può essere associato solo ed esclusivamente alla fase “AC”.
Per la corretta contribuzione delle posizioni in stato di ”accollo” verificare le note di segnalazione riportate nel manuale di contribuzione batch mensile.
</t>
  </si>
  <si>
    <t>DQR - BND CRIF &gt; 200 - VARIAZIONE DI CONTRATTO NON ESISTENTE</t>
  </si>
  <si>
    <t xml:space="preserve">L'errore si genera a fronte di invio in input di un contratto in aggiornamento (flag inserimento/variazione = 1) non presente in EURISC.
Le possibili casistiche che generano tali scarti sono le seguenti:
1. Il contratto non è mai stato segnalato in inserimento, ma è sempre stato inviato in aggiornamento.
2. Il contratto è censito in EURISC ma con un codice rapporto diverso, da quello segnalato nel momento dell'errore. E‟ possibile pertanto che non sia stata comunicata una ricodifica del codice rapporto stesso.
3. Il contratto era censito in EURISC, ma poi a fronte di richiesta specifica del Partecipante per giusta causa è stato eliminato (Truffa, Revoca del consenso, Accertata estraneità etc).
4. Il contratto era censito in EURISC ma per effetto della decorrenza dei tempi stabiliti dal Codice Deontologico è stato eliminato dai sistemi.
</t>
  </si>
  <si>
    <t xml:space="preserve">DQR - BND CRIF &gt; 202 - CONTRATTO ERRATO PER COINTESTAZIONE ERRATA </t>
  </si>
  <si>
    <t xml:space="preserve">Errore che riguarda solo la contribuzione NON RATEALE.
L'errore si verifica in realtà non sul rapporto di credito, bensì sulla cointestazione inviata collegata al contratto.
In questo caso la cointestazione inviata non è completa o non è corretta e di conseguenza viene scartato anche il relativo contratto.
</t>
  </si>
  <si>
    <t>DQR - BND CRIF &gt; 203 - ANAGRAFICA DELLA COINTESTAZIONE NON TROVATA</t>
  </si>
  <si>
    <t xml:space="preserve">Errore che riguarda solo la contribuzione NON RATEALE.
L'errore si verifica in quanto appunto l'anagrafica a cui è legata la cointestazione inviata assieme al contratto di credito, non è presente.
</t>
  </si>
  <si>
    <t xml:space="preserve">DQR - BND CRIF &gt; 204 - CONTRATTO ERRATO PER COINTESTAZIONE NON TROVATA </t>
  </si>
  <si>
    <t xml:space="preserve">Errore che riguarda solo la contribuzione NON RATEALE.
L'errore si genera poiché il contratto risulta essere stato segnalato collegato ad una cointestazione. 
Tale cointestazione però non è stata dettagliata e comunicata nel file anagrafico.
</t>
  </si>
  <si>
    <t xml:space="preserve">DQR - BND CRIF &gt; 206 - LEGAME NON TROVATO </t>
  </si>
  <si>
    <t>L'errore si genera poiché si sta cercando di inviare un contratto con le relative anagrafiche con i campi non valorizzati correttamente e che pertanto non permettono il riconoscimento del legame tra anagrafica e contratto.</t>
  </si>
  <si>
    <t xml:space="preserve">DQR - BND CRIF &gt; 208 - CONTRATTO SENZA ANAGRAFICA </t>
  </si>
  <si>
    <t>L'errore si genera a fronte di contribuzione di contratto ma senza le relative anagrafiche.</t>
  </si>
  <si>
    <t xml:space="preserve">DQR - BND CRIF &gt; 209 - ANAGRAFICA NON TROVATA IN ARCHIVIO PER CONTRATTO IN VARIAZIONE </t>
  </si>
  <si>
    <t xml:space="preserve">Errore che riguarda solo la contribuzione NON RATEALE.
L'errore viene generato a fronte di invio del contratto già precedentemente segnalato come anomalo perché non presente il set delle anagrafiche da collegare.
</t>
  </si>
  <si>
    <t>DQR - BND CRIF &gt; 20 - FASE OPERAZIONE IN DB='AC' ,STATO OPERAZIONE IN INPUT='W', e TIPO/SOTTOTIPO IN INPUT &lt;&gt; TIPO/SOTTOTIPO IN DB</t>
  </si>
  <si>
    <t xml:space="preserve">Errore che riguarda solo la contribuzione RATEALE.
L'errore si genera a fronte di contratto oggetto di accollo tecnico in cui però il tipo e sottotipo operazione sono diversi a quanto già presente in EURISC
Per la corretta contribuzione delle posizioni in stato di ”accollo” verificare le note di segnalazione riportate nel manuale di contribuzione batch mensile.
</t>
  </si>
  <si>
    <t xml:space="preserve">DQR - BND CRIF &gt; 210 - DATA ULTIMO ADDEBITO VALORIZZATA </t>
  </si>
  <si>
    <t xml:space="preserve">Errore che riguarda solo la contribuzione RATEALE.
L'errore si genera a fronte di invio del contratto su cui è stata valorizzata la “data ultimo addebito” con tipo operazione diverso da Carta (CS – CR) o AR o perché la fase del contratto è diversa da AC – ES – EA.
</t>
  </si>
  <si>
    <t xml:space="preserve">DQR - BND CRIF &gt; 211 - VARIAZIONE RUOLO ANAGRAFICA NON AMMESSA </t>
  </si>
  <si>
    <t>L'errore si genera poiché si sta tentando di variare il ruolo che l'anagrafica ha assunto nella segnalazione effettuata già precedentemente (ovvero nella fase di inserimento assieme al contratto collegato).</t>
  </si>
  <si>
    <t xml:space="preserve">DQR - BND CRIF &gt; 212 - TROVATI PIU‟ CONTRATTI ATTIVI IN BASE DATI  </t>
  </si>
  <si>
    <t xml:space="preserve">Errore che riguarda solo la contribuzione RATEALE.
L'errore si genera poiché si sta inviando in contribuzione un contratto che è già presente in EURISC (a parità di codice rapporto) ma non oggetto di accollo tecnico o ristrutturazione (stato operazione “W” e “X”.
</t>
  </si>
  <si>
    <t xml:space="preserve">DQR - BND CRIF &gt; 217 - EVENTO ERRATO CAUSA ANAGRAFICA ERRATA </t>
  </si>
  <si>
    <t xml:space="preserve">Errore che riguarda solo la contribuzione NON RATEALE.
L'errore identifica l'invio di un evento le cui anagrafiche collegate sono state identificate come errate.
</t>
  </si>
  <si>
    <t xml:space="preserve">DQR - BND CRIF &gt; 218 - INSERIMENTO DI CONTRATTO GIA‟ PRESENTE IN DB </t>
  </si>
  <si>
    <t xml:space="preserve">Errore che riguarda solo la contribuzione RATEALE.
L'errore si genera a fronte di invio di un contratto in inserimento già presente in EURISC. 
A differenza dell'errore 3 – 017, il rinvio in inserimento viene effettuato solo per il contratto ma senza le relative anagrafiche.
</t>
  </si>
  <si>
    <t xml:space="preserve">DQR - BND CRIF &gt; 221 - VARIAZIONE DELLA COMPOSIZIONE ANAGRAFICA DELLA COINTESTAZIONE </t>
  </si>
  <si>
    <t xml:space="preserve">Errore che riguarda solo la contribuzione NON RATEALE.
L'errore si genera a fronte di invio in aggiornamento della compagine che compone la cointestazione.
</t>
  </si>
  <si>
    <t xml:space="preserve">DQR - BND CRIF &gt; 222 - LEGAME ERRATO PERCHE‟ ANAGRAFICA ANOMALA  </t>
  </si>
  <si>
    <t xml:space="preserve">L'errore viene generato a fronte di invio, assieme al contratto, di anagrafiche che presentano delle anomalie sul dato.
Per questo viene scartato tutto l'intero set di informazioni.
</t>
  </si>
  <si>
    <t xml:space="preserve">DQR - BND CRIF &gt; 223 - LEGAME ERRATO PERCHE‟ COINTESTAZIONE ANOMALA </t>
  </si>
  <si>
    <t>L'errore viene generato a fronte di invio, assieme al contratto, di anagrafiche collegate da una cointestazione che è stata definita anomala.</t>
  </si>
  <si>
    <t xml:space="preserve">DQR - BND CRIF &gt; 224 - CONTRATTO CON TUTTI LEGAMI ERRATI </t>
  </si>
  <si>
    <t xml:space="preserve">L'errore viene generato a fronte di invio, assieme al contratto, di anagrafiche che presentano delle anomalie sul dato. 
Per questo viene scartato tutto l'intero set di informazioni.
</t>
  </si>
  <si>
    <t>DQR - BND CRIF &gt; 225 - LEGAME DI UN CONTRATTO ERRATO</t>
  </si>
  <si>
    <t>DQ Contribuzione CRIF - Legami [Ctg]</t>
  </si>
  <si>
    <t xml:space="preserve">DQR - BND CRIF &gt; 226 - VARIAZIONE DI CONTRATTO ONLINE </t>
  </si>
  <si>
    <t xml:space="preserve">Errore che riguarda solo la contribuzione RATEALE.
L'errore viene generato a fronte di invio di un contratto in aggiornamento (flag inserimento/variazione = 1) ma mai inviato precedentemente in inserimento, se non solo pre-interrogato on-line.
</t>
  </si>
  <si>
    <t xml:space="preserve">DQR - BND CRIF &gt; 227 - INSERIMENTO DI CONTRATTO SOSPESO </t>
  </si>
  <si>
    <t xml:space="preserve">Errore che riguarda solo la contribuzione RATEALE.
L'errore si genera a fronte di invio in inserimento di un rapporto che è già presente in EURISC per via della pre-interrogazione on-line. 
Inoltre tale contratto risulta essere sospeso per verifica da parte dell'Ufficio Relazioni con il Pubblico di CRIF
</t>
  </si>
  <si>
    <t>DQR - BND CRIF &gt; 228 - INSERIMENTO DI CONTRATTO SENZA RISPETTIVO LEGAME/ANAGRAFICA</t>
  </si>
  <si>
    <t xml:space="preserve">Errore che riguarda solo la contribuzione RATEALE.
L'errore si genera poiché si sta inviando in inserimento un contratto ma senza il relativo set anagrafico collegato.
</t>
  </si>
  <si>
    <t>DQR - BND CRIF &gt; 229 - CODICE ANAGRAFICO DI RIFERIMENTO NON VALORIZZATO</t>
  </si>
  <si>
    <t xml:space="preserve">Errore che riguarda solo la contribuzione RATEALE.
L'errore si genera a fronte di invio di cointestazione o di segnalazione di legame tra socio/società in cui però non è stato identificato il codice anagrafico di riferimento ovvero della cointestazione o della società madre, nel caso del socio/società.
</t>
  </si>
  <si>
    <t xml:space="preserve">DQR - BND CRIF &gt; 22 - CONTRATTO NON TROVATO IN DB e STATO OPERAZIONE IN INPUT='X' </t>
  </si>
  <si>
    <t xml:space="preserve">Errore che riguarda solo la contribuzione RATEALE.
L'errore si genera a fronte di un contratto e oggetto di ristrutturazione (con stato operazione X) che non è presente in EURISC.
Per la corretta contribuzione delle posizioni in stato di “ristrutturazione” verificare le note di segnalazione riportate nel manuale di contribuzione batch mensile
</t>
  </si>
  <si>
    <t xml:space="preserve">DQR - BND CRIF &gt; 230 - TIPO EVENTO NON AMMESSO IN INPUT </t>
  </si>
  <si>
    <t xml:space="preserve">Errore che riguarda solo la contribuzione NON RATEALE.
L'errore si genera a fronte di invio di un evento segnalante con valorizzazione di parametri non ammessi.
</t>
  </si>
  <si>
    <t>DQR - BND CRIF &gt; 231 - CODICE FISCALE ALFANUMERICO NON AMMESSO PER SOCIETA'</t>
  </si>
  <si>
    <t>Il campo del Codice Fiscale per soggetto giuridico (società) è stato valorizzato con caratteri alfanumerici.</t>
  </si>
  <si>
    <t xml:space="preserve">DQR - BND CRIF &gt; 233 - COD ANA DA ENTE GIA' PRESENTE IN ARCHIVIO PER ALTRA ANAGRAFICA </t>
  </si>
  <si>
    <t>L'errore viene generato poiché in input si sta cercando di inviare un'anagrafica che presenta un codice anagrafico da ente già assegnato ad altra anagrafica presente in EURISC. E' possibile che le anagrafiche siano simili tra loro, ma il sistema effettuando vari controlli, non ne permette il riconoscimento.</t>
  </si>
  <si>
    <t xml:space="preserve">DQR - BND CRIF &gt; 234 - VARIAZIONE DI ANAGRAFICA NON PRESENTE IN ARCHIVIO </t>
  </si>
  <si>
    <t xml:space="preserve">L'errore viene generato poiché si sta tentando di variare un codice anagrafico da ente che in EURISC non è presente.
Le principali cause sono:
Il codice anagrafico da ente in input non è mai stato effettivamente censito in EURISC. Pertanto sarà necessario contribuire l'anagrafica come nuova (flag inserimento/variazione = 0) con il relativo contratto collegato (sempre con flag inserimento/variazione = 0).
 Si sta tentando di variare un'anagrafica già presente in EURISC ma il codice anagrafico da ente associato è diverso rispetto a quello in input.
Sarà pertanto necessario procedere a una ricodifica del codice anagrafico da ente ( in caso di effettiva migrazioni/fusioni).
</t>
  </si>
  <si>
    <t>DQR - BND CRIF &gt; 235 - CONTRATTO NON TROVATO IN DB E STATO OPERAZIONE IN INPUT=U</t>
  </si>
  <si>
    <t>DQR - BND CRIF &gt; 236 - CONTRATTO ES/EA CON DATA FINE OPERAZIONE ERRATA</t>
  </si>
  <si>
    <t xml:space="preserve">Errore che riguarda solo la contribuzione RATEALE.
L'errore si genera a fronte di invio di un contratto in fase ES/EA con data fine valorizzata maggiore della data di riferimento del file.
In particolare capita viene generata nel caso di estinzioni anticipate in cui la data di fine operazione stabilita è rimasta originaria.
</t>
  </si>
  <si>
    <t xml:space="preserve">DQR - BND CRIF &gt; 237 - CHIAVI ANAGRAFICHE INSUFFICIENTI </t>
  </si>
  <si>
    <t xml:space="preserve">L'anagrafica contribuita viene resa anomala quando il set di informazioni minime per il riconoscimento dell'anagrafica non è valorizzato. Parliamo dei campi: 
 Nome, Cognome, Denominazione Sociale;
 Codice Fiscale/Partita IVA;
 Codice e Provincia CCIAA (se soggetto giuridico);
 Luogo e data di nascita (per persona fisica/ditta individuale). 
</t>
  </si>
  <si>
    <t>DQR - BND CRIF &gt; 237 - CODICE FISCALE FORNITORE ERRATO</t>
  </si>
  <si>
    <t xml:space="preserve">Errore che riguarda solo la contribuzione RATEALE.
Il check sul codice fiscale fornitore (campo “codice fiscale fornitore (dealer)” oppure rete/società di Agenti in attività finanziaria o Mediazione (1°livello)”) ha evidenziato un errore.
</t>
  </si>
  <si>
    <t xml:space="preserve">DQR - BND CRIF &gt; 238 - CODICE FISCALE AGENTE ERRATO     </t>
  </si>
  <si>
    <t xml:space="preserve">Errore che riguarda solo la contribuzione RATEALE.
Il check sul codice fiscale dell'agente “codice fiscale dipendente/collaboratore (3°livello)” ha evidenziato un errore.
</t>
  </si>
  <si>
    <t xml:space="preserve">DQR - BND CRIF &gt; 239 - OPERAZIONECODICE FISCALE DIPENDENTE VALORIZZATO IN ASSENZA DEL FLAG TIPO CONTRIBUZIONE    </t>
  </si>
  <si>
    <t xml:space="preserve">Errore che riguarda solo la contribuzione RATEALE.
L'errore si genera poiché a fronte di segnalazione del codice fiscale del dipendente (di rete o società di Mediatori o Agenti in attività finanziaria) non è stato valorizzato il campo “flag Agenti/Mediatori”.
Ricordiamo che tutte le regole di contribuzione batch sugli agenti in attività finanziaria e/o mediatori creditizi sono riportate nel Manuale di contribuzione batch mensile (versione 1.9).
</t>
  </si>
  <si>
    <t xml:space="preserve">DQR - BND CRIF &gt; 23 - CONTRATTO NON TROVATO IN DB e STATO OPERAZIONE IN INPUT=W </t>
  </si>
  <si>
    <t xml:space="preserve">Errore che riguarda solo la contribuzione RATEALE.
L'errore si genera a fronte di un contratto oggetto di “accollo tecnico” (con stato operazione W) che non è presente in EURISC.
Per la corretta contribuzione delle posizioni in stato di “accollo tecnico” verificare le note di segnalazione riportate nel manuale di contribuzione batch mensile.
</t>
  </si>
  <si>
    <t xml:space="preserve">DQR - BND CRIF &gt; 240 - CODICE FISCALE DIPENDENTE MANCANTE  </t>
  </si>
  <si>
    <t xml:space="preserve">Errore che riguarda solo la contribuzione RATEALE.
L'errore si genera poiché il campo “flag Agenti/Mediatori” è stato valorizzato con uno dei domini accessibili, ma non è stato presente il campo “Codice Fiscale dipendente/collaboratore (3° livello).
Ricordiamo che tutte le regole di contribuzione batch sugli agenti in attività finanziaria e/o mediatori creditizi sono riportate nel Manuale di contribuzione batch mensile (versione 1.9).
</t>
  </si>
  <si>
    <t>DQR - BND CRIF &gt; 241 - CODICE FISCALE DIPENDENTE ERRATO</t>
  </si>
  <si>
    <t xml:space="preserve">Errore che riguarda solo la contribuzione RATEALE.
Il check sul codice fiscale del dipendente/collaboratore ha evidenziato un errore.
</t>
  </si>
  <si>
    <t xml:space="preserve">DQR - BND CRIF &gt; 242 - FLAG CONTRIBUZIONE AGENTI MEDIATORI ERRATO          </t>
  </si>
  <si>
    <t xml:space="preserve">Errore che riguarda solo la contribuzione RATEALE.
L'errore si è generato a fronte di errata valorizzazione del campo “Flag Agenti/Mediatori”.
</t>
  </si>
  <si>
    <t xml:space="preserve">DQR - BND CRIF &gt; 243 - CLIENTE MINORENNE </t>
  </si>
  <si>
    <t>L'errore si genera poiché l'anagrafica a cui è collegato il contratto di finanziamento contribuito è minorenne.</t>
  </si>
  <si>
    <t>DQR - BND CRIF &gt; 243 - CONTRIBUZIONE AGENTI MEDIATORI PRESENTE IN BASE DATI</t>
  </si>
  <si>
    <t xml:space="preserve">Errore che riguarda solo la contribuzione RATEALE.
L'errore si è generato poiché in EURISC è già presente l'informazione sul contratto oggetto della segnalazione, degli Agenti in attività finanziaria o Mediatori che hanno seguito la pratica.
Ricordiamo che la segnalazione dell’informazione sugli Agenti in attività finanziaria o Mediatori creditizi vanno inviate solo la prima volta che viene contribuito il dato in EURISC.
Inoltre tutte le informazioni necessarie per la corretta contribuzione di questi dati sono riportate nel Manuale di contribuzione batch mensile (versione 1.9).
</t>
  </si>
  <si>
    <t>DQR - BND CRIF &gt; 25 - CONTRATTO TROVATO IN DB, INVIATO BATCH,TIPO OPERAZIONE IN INPUT='C' o 'A' e TIPO OPERAZIONE IN DB&lt;&gt;'C' e 'A'</t>
  </si>
  <si>
    <t xml:space="preserve">Errore che riguarda solo la contribuzione RATEALE.
L'errore si genera poiché si sta tentando di contribuire un contratto che a parità di codice operazione rapporto presenta un tipo e sottotipo operazione diverso rispetto a quello già presente in EURISC.
Ricordiamo che non è possibile accendere un contratto come carta di credito e poi aggiornarlo come prestito.
Il tipo operazione con cui nasce il rapporto di credito deve rimanere quello durante tutto il periodo di ammortamento.
Casistiche particolari vanno trattate preventivamente con il team CBS_OS.
</t>
  </si>
  <si>
    <t xml:space="preserve">DQR - BND CRIF &gt; 260 - CODICE CCIAA E PROV CCIAA NON SEGNALABILI SINGOLARMENTE </t>
  </si>
  <si>
    <t xml:space="preserve">I campi sono obbligatori per identificare la società. 
Per essere significativa l'informazione deve essere completa in entrambi i campi (numero e Provincia CCIAA). Genera anomalia se segnalati singolarmente.  
</t>
  </si>
  <si>
    <t xml:space="preserve">DQR - BND CRIF &gt; 264 - DOMICILIO NON COMPLETO </t>
  </si>
  <si>
    <t xml:space="preserve">Le informazioni relative ai dati della Residenza e del Domicilio (indirizzo, numero civico, cap, comune) sono informazioni che il sistema considera come unico set.
 Pertanto qualora uno di questi dati viene a mancare viene generata anomalia.  
</t>
  </si>
  <si>
    <t>DQR - BND CRIF &gt; 26 - CONTRATTO TROVATO IN DB, INVIATO BATCH,TIPO OPERAZIONE IN INPUT&lt;&gt;'C' e 'A' e TIPO OPERAZIONE IN DB = 'C' o 'A'</t>
  </si>
  <si>
    <t xml:space="preserve">Errore che riguarda solo la contribuzione RATEALE.
L'errore si genera poiché si sta tentando di contribuire un contratto che a parità di codice operazione rapporto presenta un tipo e sottotipo operazione diverso rispetto a quello già presente in EURISC.
Ricordiamo che non è possibile accendere un contratto come prestito e poi aggiornarlo come carta di credito.
 Il tipo operazione con cui nasce il rapporto di credito deve rimanere quello durante tutto il periodo di ammortamento.
Casistiche particolari vanno trattate preventivamente con il team CBS_OS.
</t>
  </si>
  <si>
    <t>DQR - BND CRIF &gt; 28 - CONTRATTO TROVATO IN DB e DATA RIFERIMENTO CARTA IN INPUT&lt;= DATA RIFERIMENTO CARTA IN DB</t>
  </si>
  <si>
    <t xml:space="preserve">Errore che riguarda solo la contribuzione RATEALE.
L'errore si genera a fronte di invio del contratto con la data di riferimento carta minore o uguale rispetto alla data comunicata nel precedente flusso di aggiornamento batch.
</t>
  </si>
  <si>
    <t xml:space="preserve">DQR - BND CRIF &gt; 300 - CONTRATTO ANOMALO PERCHE LEGAMI ANOMALI </t>
  </si>
  <si>
    <t>L'errore si genera a fronte di invio di un contratto collegato ad un legame anagrafico che presenta anomalie.</t>
  </si>
  <si>
    <t>DQR - BND CRIF &gt; 301 - CONTRATTO E EVENTO NEGATIVO NON POSSONO ESSERE CARICATI IN DB NELLO STESSO MESE PER LO STESSO SOGGETTO</t>
  </si>
  <si>
    <t xml:space="preserve">Errore che riguarda solo la contribuzione NON RATEALE.
L'errore si genera a fronte di invio, all'interno dello stesso flusso mensile e collegata alla stessa anagrafica di un rapporto di credito di fido regolare e di un evento negativo.
</t>
  </si>
  <si>
    <t>DQR - BND CRIF &gt; 303 - CONTRATTO IN INSERIMENTO ERRATO PERCHE LEGAMI ASSENTI</t>
  </si>
  <si>
    <t>L'errore si genera a fronte di invio del contratto senza la relativa compagine anagrafica collegata.</t>
  </si>
  <si>
    <t xml:space="preserve">DQR - BND CRIF &gt; 305 - ERRORE DI DOMINIO: CODICE PROVINCIA CONTROPARTE </t>
  </si>
  <si>
    <t xml:space="preserve">Errore che riguarda solo la contribuzione NON RATEALE.
L'errore si genera poiché il campo relativo al “codice provincia controparte” è stato compilato con dei domini non accessibili.
</t>
  </si>
  <si>
    <t>DQR - BND CRIF &gt; 305 - POSSIBILE ERRATO AGGANCIO ANAGRAFICO</t>
  </si>
  <si>
    <t>I dati in input relativi al sesso ed alla data di nascita non corrispondono rispetto alle informazioni trasmesse in EURSIC precedentemente sulla stessa anagrafica.</t>
  </si>
  <si>
    <t xml:space="preserve">DQR - BND CRIF &gt; 306 - ERRORE DI DOMINIO: NAZIONE CONTROPARTE </t>
  </si>
  <si>
    <t xml:space="preserve">Errore che riguarda solo la contribuzione NON RATEALE.
L'errore si genera poiché il campo relativo alla “nazione controparte” è stato compilato con dei domini non accessibili.
</t>
  </si>
  <si>
    <t xml:space="preserve">DQR - BND CRIF &gt; 307 - ERRORE DI TIPO: PROVINCIA DESTINAZIONE INVESTIMENTO </t>
  </si>
  <si>
    <t xml:space="preserve">Errore che riguarda solo la contribuzione NON RATEALE.
L'errore si genera poiché il campo relativo alla “provincia destinazione investimento” è stato compilato con dei domini non accessibili.
</t>
  </si>
  <si>
    <t xml:space="preserve">DQR - BND CRIF &gt; 308 - ANAGRAFICA SENZA CONTRATTI </t>
  </si>
  <si>
    <t>L'errore si genera a fronte di invio dell'anagrafica senza contratti collegati.</t>
  </si>
  <si>
    <t xml:space="preserve">DQR - BND CRIF &gt; 309 - ERRORE DI DOMINIO: CODICE DIVISA ESTERA </t>
  </si>
  <si>
    <t xml:space="preserve">Errore che riguarda solo la contribuzione NON RATEALE.
L'errore si genera poiché il campo relativo al “codice divisa estera” è stato compilato con dei domini non accessibili.
</t>
  </si>
  <si>
    <t>DQR - BND CRIF &gt; 30 - CONTRATTO TROVATO IN DB CON INCOERENZE TRA FASE E STATO OPERAZIONE</t>
  </si>
  <si>
    <t>L'errore si genera a fronte di invio di un contratto con fase ES/EA che in EURISC è già presente con la stessa informazione di ES/EA.</t>
  </si>
  <si>
    <t xml:space="preserve">DQR - BND CRIF &gt; 310 - ERRORE DI DOMINIO: CODICE PROVINCIA DIPENDENZA </t>
  </si>
  <si>
    <t>L'errore si genera poiché il campo relativo al “codice provincia dipendenza” è stato compilato con dei domini non accessibili.</t>
  </si>
  <si>
    <t xml:space="preserve">DQR - BND CRIF &gt; 311 - ERRORE DI DOMINIO: CODICE SPORTELLO </t>
  </si>
  <si>
    <t xml:space="preserve">Errore che riguarda solo la contribuzione NON RATEALE.
L'errore si genera poiché il campo relativo al “codice sportello” è stato compilato con dei domini non accessibili.
</t>
  </si>
  <si>
    <t xml:space="preserve">DQR - BND CRIF &gt; 312 - LEGAME ERRATO PERCHE ESISTE UN LEGAME RICHIEDENTE O COOBBLIGATO ERRATO </t>
  </si>
  <si>
    <t xml:space="preserve">L'errore si genera a fronte di invio di un contratto con la relativa compagine anagrafica per la quale però il legame è stato identificato come anomalo poiché o sul richiedente o sul coobbligato ci sono
informazioni errate.
</t>
  </si>
  <si>
    <t xml:space="preserve">DQR - BND CRIF &gt; 313 - CONTRATTO RATEALE IN VARIAZIONE ERRATO PERCHE' NON TROVATO IN BD E PRESENTE UN LEGAME IN INPUT RELATIVO AL CONTRATTO </t>
  </si>
  <si>
    <t>L'errore si genera a fronte di invio di un contratto in aggiornamento non presente in EURSIC, ma per il quale al contrario è presente il legame anagrafico.</t>
  </si>
  <si>
    <t xml:space="preserve">DQR - BND CRIF &gt; 314 - FLAG PRIOR CHEKING =S PER CONTRATTO IN VARIAZIONE </t>
  </si>
  <si>
    <t xml:space="preserve">Errore che riguarda solo la contribuzione RATEALE.
L'errore si genera a fronte di invio di un contratto in aggiornamento (flag inserimento/variazione = 1) in cui è stato valorizzato il campo “flag prior cheking” che può essere valorizzato solo nel caso di inserimento contratto.
Ricordiamo che per la corretta gestione del “flag Prior Cheking” utile per la gestione delle posizioni senza consenso o per le quali è stata richiesta revoca del consenso da parte del consumatore, consultare il manuale di contribuzione batch
</t>
  </si>
  <si>
    <t>DQR - BND CRIF &gt; 31 - CONTRATTO TROVATO IN DB CON INCOERENZE TRA FASE E STATO OPERAZIONE</t>
  </si>
  <si>
    <t xml:space="preserve">Errore che riguarda solo la contribuzione RATEALE.
L'errore di genera a fronte di un invio di un contratto che presenta in input lo stato operazione U di rientro in bonis e lo stesso contratto in EURISC non presenta invece lo stato operazione S di sofferenza.
Segnalazione necessaria affinché valgano le regole della corretta gestione della segnalazione di sofferenza.
Per la corretta contribuzione delle posizioni in stato di “sofferenza” verificare le note di segnalazione riportate nel manuale di contribuzione batch mensile.
</t>
  </si>
  <si>
    <t xml:space="preserve">DQR - BND CRIF &gt; 342 - NDG NON UNIVOCO PER ANAGRAFICA CRIF </t>
  </si>
  <si>
    <t xml:space="preserve">L'errore si genera poiché in input si sta inviando un'anagrafica che a parità di codice anagrafico da ente già censito in EURISC, presenta dati anagrafici di riconoscimento diversi rispetto all'anagrafica già segnalata e presente in EURISC.
Se il dato trasmesso è corretto,  dare comunicazione (tramite fax o mail) al team dedicato CBS_OS (cbs_os@crif.com) della veridicità delle informazioni inviate nel flusso batch, allegando i documenti di riconoscimento dell'anagrafica. 
       Se dato errato è possibile: 
       Inviare l'anagrafica corretta in variazione nel flusso mensile batch successivo. 
       Fornire le informazioni corrette (tramite fax o mail) al team CBS_OS che andranno ad da aggiornare quelle errate, allegando i documenti di riconoscimento dell'anagrafica. 
</t>
  </si>
  <si>
    <t xml:space="preserve">DQR - BND CRIF &gt; 34 - TIPO/SOTTOTIPO OPERAZIONE ERRATO O MANCANTE </t>
  </si>
  <si>
    <t xml:space="preserve">Errore che riguarda solo la contribuzione RATEALE.
L'errore si genera a fronte della mancata valorizzazione dei campi obbligatori (tipo e sottotipo operazione).
</t>
  </si>
  <si>
    <t xml:space="preserve">DQR - BND CRIF &gt; 37 - DATO OBBLIGATORIO MANCANTE:  CODICE VOCE </t>
  </si>
  <si>
    <t xml:space="preserve">Errore che riguarda solo la contribuzione NON RATEALE.
L'errore si genera poiché il campo obbligatorio relativo al codice voce non è stato valorizzato
</t>
  </si>
  <si>
    <t>DQR - BND CRIF &gt; 399 - WARNING: CONTRATTO NON PRESENTE PER DECORRENZA TEMPI DI PERMAN</t>
  </si>
  <si>
    <t xml:space="preserve">DQR - BND CRIF &gt; 39 - DATO OBBLIGATORIO MANCANTE:  CODICE SOTTOVOCE </t>
  </si>
  <si>
    <t xml:space="preserve">Errore che riguarda solo la contribuzione NON RATEALE.
L'errore si genera poiché il campo obbligatorio relativo al codice della sottovoce non è stato valorizzato.
</t>
  </si>
  <si>
    <t xml:space="preserve">DQR - BND CRIF &gt; 407 - NOME - NON VALORIZZATO </t>
  </si>
  <si>
    <t xml:space="preserve">L'errore viene generato poiché il campo Nome, obbligatorio da tracciato, non è stato valorizzato. 
Tale errore viene generato anche nel caso in cui non sia stato valorizzato il nome del titolare della ditta individuale. 
</t>
  </si>
  <si>
    <t xml:space="preserve">DQR - BND CRIF &gt; 409 - COGNOME - NON VALORIZZATO </t>
  </si>
  <si>
    <t xml:space="preserve">L'errore viene generato poiché il campo Cognome, obbligatorio da tracciato, non è stato valorizzato. 
Tale errore viene generato anche nel caso in cui non sia stato valorizzato il cognome del titolare della ditta individuale. 
</t>
  </si>
  <si>
    <t xml:space="preserve">DQR - BND CRIF &gt; 40 - TIPO ERRATO: CODICE SOTTOVOCE </t>
  </si>
  <si>
    <t xml:space="preserve">Errore che riguarda solo la contribuzione NON RATEALE.
L'errore si genera poiché il campo relativo alla sottovoce non è stato compilato correttamente (ad esempio ci sono dei valori alfanumerici).
</t>
  </si>
  <si>
    <t xml:space="preserve">DQR - BND CRIF &gt; 410 - RAGIONE SOCIALE - NON VALORIZZATA </t>
  </si>
  <si>
    <t>L'errore viene generato poiché il campo della Ragione Sociale (da valorizzare sia per le società che per le ditte individuali), obbligatorio da tracciato, non è stato valorizzato.</t>
  </si>
  <si>
    <t xml:space="preserve">DQR - BND CRIF &gt; 412 - FORMA GIURIDICA - ERRATA </t>
  </si>
  <si>
    <t>Si sta cercando di inviare una anagrafica con il campo “Forma Giuridica” valorizzato con domini non accettabili.</t>
  </si>
  <si>
    <t xml:space="preserve">DQR - BND CRIF &gt; 41 - TIPO ERRATO: DIGIT DIVISA </t>
  </si>
  <si>
    <t xml:space="preserve">Errore che riguarda solo la contribuzione NON RATEALE.
L'errore si genera poiché il campo relativo al “digit divisa” non è stato compilato correttamente.
</t>
  </si>
  <si>
    <t xml:space="preserve">DQR - BND CRIF &gt; 42 - ERRORE DI DOMINIO: DIGIT DIVISA </t>
  </si>
  <si>
    <t xml:space="preserve">Errore che riguarda solo la contribuzione NON RATEALE.
L'errore si genera poiché il campo relativo al “digit divisa” è stato compilato con dei domini non accessibili.
</t>
  </si>
  <si>
    <t xml:space="preserve">DQR - BND CRIF &gt; 43 - TIPO ERRATO: DIGIT RESIDENZA </t>
  </si>
  <si>
    <t xml:space="preserve">Errore che riguarda solo la contribuzione NON RATEALE.
L'errore si genera poiché il campo relativo al “digit residenza” non è stato compilato correttamente.
</t>
  </si>
  <si>
    <t xml:space="preserve">DQR - BND CRIF &gt; 44 - ERRORE DI DOMINIO: DIGIT RESIDENZA </t>
  </si>
  <si>
    <t xml:space="preserve">Errore che riguarda solo la contribuzione NON RATEALE.
L'errore si genera poiché il campo relativo al “digit residenza” è stato compilato con dei domini non accessibili.
</t>
  </si>
  <si>
    <t xml:space="preserve">DQR - BND CRIF &gt; 45 - TIPO ERRATO: INDICATORE DURATA </t>
  </si>
  <si>
    <t xml:space="preserve">Errore che riguarda solo la contribuzione NON RATEALE.
L'errore si genera poiché il campo relativo alla “durata” non è stato compilato correttamente.
</t>
  </si>
  <si>
    <t xml:space="preserve">DQR - BND CRIF &gt; 46 - ERRORE DI DOMINIO: INDICATORE DURATA </t>
  </si>
  <si>
    <t xml:space="preserve">Errore che riguarda solo la contribuzione NON RATEALE.
L'errore si genera poiché il campo relativo alla ”durata” è stato compilato con dei domini non accessibili.
</t>
  </si>
  <si>
    <t xml:space="preserve">DQR - BND CRIF &gt; 47 - TIPO ERRATO: CODICE DIVISA ESTERA </t>
  </si>
  <si>
    <t xml:space="preserve">Errore che riguarda solo la contribuzione NON RATEALE.
L'errore si genera poiché il campo relativo al “codice divisa estera” non è stato compilato correttamente.
</t>
  </si>
  <si>
    <t xml:space="preserve">DQR - BND CRIF &gt; 48 - TIPO ERRATO: DATA INIZIO OPERAZIONE </t>
  </si>
  <si>
    <t xml:space="preserve">Errore che riguarda solo la contribuzione NON RATEALE.
L'errore si genera poiché il campo relativo alla “data inizio operazione” non è stata compilata correttamente.
</t>
  </si>
  <si>
    <t xml:space="preserve">DQR - BND CRIF &gt; 49 - TIPO ERRATO: DATA FINE OPERAZIONE </t>
  </si>
  <si>
    <t xml:space="preserve">Errore che riguarda solo la contribuzione NON RATEALE.
L'errore si genera poiché il campo relativo alla “data fine operazione” non è stata compilata correttamente.
</t>
  </si>
  <si>
    <t xml:space="preserve">DQR - BND CRIF &gt; 4 - CODICE OPERAZIONE RAPPORTO DUPLICATO NEL FILE FORNITO </t>
  </si>
  <si>
    <t xml:space="preserve">Nel file di input della contribuzione mensile sono presenti due contratti con stesso codice operazione rapporto.  
</t>
  </si>
  <si>
    <t xml:space="preserve">DQR - BND CRIF &gt; 50 - COD. INSER./VARIAZ. RIGA NON PRESENTE IN TABELLA </t>
  </si>
  <si>
    <t>Il campo “Flag Inserimento/Variazione” è stato valorizzato con dei domini diversi da quelli definiti da manuale (ricordiamo 1 per variazione e 0 per inserimento).</t>
  </si>
  <si>
    <t xml:space="preserve">DQR - BND CRIF &gt; 52 - TIPO ERRATO: CODICE RAMO ATTIVITA </t>
  </si>
  <si>
    <t xml:space="preserve">Errore che riguarda solo la contribuzione NON RATEALE.
L'errore si genera poiché il campo relativo al “codice ramo attività” non è stato compilato correttamente.
</t>
  </si>
  <si>
    <t xml:space="preserve">DQR - BND CRIF &gt; 53 - ERRORE DI DOMINIO: CODICE RAMO ATTIVITA </t>
  </si>
  <si>
    <t xml:space="preserve">Errore che riguarda solo la contribuzione NON RATEALE.
L'errore si genera poiché il campo relativo al ”codice ramo attività” è stato compilato con dei domini non accessibili.
</t>
  </si>
  <si>
    <t xml:space="preserve">DQR - BND CRIF &gt; 54 - TIPO ERRATO: SOTTOGRUPPO ATTIVITA </t>
  </si>
  <si>
    <t xml:space="preserve">Errore che riguarda solo la contribuzione NON RATEALE.
L'errore si genera poiché il campo relativo al “sottogruppo attività” non è stato compilato correttamente.
</t>
  </si>
  <si>
    <t xml:space="preserve">DQR - BND CRIF &gt; 55 - ERRORE DI DOMINIO: SOTTOGRUPPO ATTIVITA </t>
  </si>
  <si>
    <t xml:space="preserve">Errore che riguarda solo la contribuzione NON RATEALE.
L'errore si genera poiché il campo relativo al ”sottogruppo attività” è stato compilato con dei domini non accessibili.
</t>
  </si>
  <si>
    <t xml:space="preserve">DQR - BND CRIF &gt; 56 - TIPO ERRATO: CODICE SPORTELLO </t>
  </si>
  <si>
    <t xml:space="preserve">Errore che riguarda solo la contribuzione NON RATEALE.
L'errore si genera poiché il campo relativo al “codice sportello” (CAB filiale) non è stato compilato correttamente.
</t>
  </si>
  <si>
    <t xml:space="preserve">DQR - BND CRIF &gt; 57 - TIPO ERRATO: CODICE PROVINCIA CONTROPARTE </t>
  </si>
  <si>
    <t xml:space="preserve">Errore che riguarda solo la contribuzione NON RATEALE.
L'errore si genera poiché il campo relativo al “codice provincia controparte” non è stato compilato correttamente.
</t>
  </si>
  <si>
    <t xml:space="preserve">DQR - BND CRIF &gt; 58 - TIPO ERRATO: STATO DELLA CONTROPARTE </t>
  </si>
  <si>
    <t xml:space="preserve">Errore che riguarda solo la contribuzione NON RATEALE.
L'errore si genera poiché il campo relativo al “stato della controparte” non è stato compilato correttamente.
</t>
  </si>
  <si>
    <t xml:space="preserve">DQR - BND CRIF &gt; 59 - TIPO ERRATO: RUOLO AFFIDATO </t>
  </si>
  <si>
    <t xml:space="preserve">Errore che riguarda solo la contribuzione NON RATEALE.
L'errore si genera poiché il campo relativo al “ruolo affidato” non è stato compilato correttamente.
</t>
  </si>
  <si>
    <t xml:space="preserve">DQR - BND CRIF &gt; 62 - TIPO ERRATO: CODICE STATO RAPPORTO </t>
  </si>
  <si>
    <t>L'errore si genera poiché il campo relativo allo “stato del rapporto” non è stato compilato correttamente</t>
  </si>
  <si>
    <t xml:space="preserve">DQR - BND CRIF &gt; 63 - ERRORE DI DOMINIO: CODICE STATO RAPPORTO </t>
  </si>
  <si>
    <t>L'errore si genera poiché il campo relativo allo “stato del rapporto” è stato compilato con dei domini non accessibili.</t>
  </si>
  <si>
    <t xml:space="preserve">DQR - BND CRIF &gt; 64 - TIPO ERRATO: IMPORTO ACCORDATO OPERATIVO </t>
  </si>
  <si>
    <t xml:space="preserve">Errore che riguarda solo la contribuzione NON RATEALE.
L'errore si genera poiché il campo relativo all'importo accordato operativo  non è stato compilato correttamente.
</t>
  </si>
  <si>
    <t xml:space="preserve">DQR - BND CRIF &gt; 65 - IMPORTO ACCORDATO OPERATIVO </t>
  </si>
  <si>
    <t xml:space="preserve">Errore che riguarda solo la contribuzione NON RATEALE.
L'errore si genera poiché il campo relativo all'importo accordato operativo  presenta un importo che non rientra nelle soglie minimali/massimali stabilite dal sistema per impedire possibili errori di segnalazioni.
</t>
  </si>
  <si>
    <t xml:space="preserve">DQR - BND CRIF &gt; 65 - NUMERO E PROVINCIA REGISTRO DEL TRIB. DA INDICARE INSIEME </t>
  </si>
  <si>
    <t>Tali informazioni non sono obbligatorie da tracciato, ma qualora siano significativi vanno valorizzati entrambi. In assenza di uno dei due parametri, viene generato errore.</t>
  </si>
  <si>
    <t xml:space="preserve">DQR - BND CRIF &gt; 66 - DATO OBBLIGATORIO MANCANTE:  CREDITO UTILIZZATO </t>
  </si>
  <si>
    <t xml:space="preserve">Errore che riguarda solo la contribuzione NON RATEALE.
L'errore si genera poiché il campo obbligatorio relativo al “credito utilizzato” non è stato valorizzato.
</t>
  </si>
  <si>
    <t xml:space="preserve">DQR - BND CRIF &gt; 6 – 7 - STESSO CODICE OPERAZIONE RAPPORTO E DIVERSA VOCE/SOTTOVOCE </t>
  </si>
  <si>
    <t>Nel file di input della contribuzione mensile è presente un contratto con stesso codice operazione rapporto e diversa voce e sottovoce (per contribuzione non rateale) o diverso tipo e sottotipo operazione (per contribuzione rateale).</t>
  </si>
  <si>
    <t xml:space="preserve">DQR - BND CRIF &gt; 67 - TIPO ERRATO:  CREDITO UTILIZZATO </t>
  </si>
  <si>
    <t xml:space="preserve">Errore che riguarda solo la contribuzione NON RATEALE.
L'errore si genera poiché il campo relativo al “credito utilizzato” non è stato compilato correttamente.
</t>
  </si>
  <si>
    <t xml:space="preserve">DQR - BND CRIF &gt; 68 - TIPO ERRATO: CREDITO  ACCORDATO GLOBALE (C.R. E/O ARS) </t>
  </si>
  <si>
    <t xml:space="preserve">Errore che riguarda solo la contribuzione NON RATEALE.
L'errore si genera poiché il campo relativo al “credito accordato globale” non è stato compilato correttamente.
</t>
  </si>
  <si>
    <t xml:space="preserve">DQR - BND CRIF &gt; 69 - CREDITO ACCORDATO GLOBALE FUORI DAI LIMITI STABILITI </t>
  </si>
  <si>
    <t xml:space="preserve">Errore che riguarda solo la contribuzione NON RATEALE.
L'errore si genera poiché il campo relativo al “credito accordato globale” presenta un importo che non rientra nelle soglie minimali/massimali
stabilite dal sistema per impedire possibili errori di segnalazioni.
</t>
  </si>
  <si>
    <t>DQR - BND CRIF &gt; 702 - RUOLO DIVERSO DA BLANK, R, G, C - LEGAME AC</t>
  </si>
  <si>
    <t xml:space="preserve">Errore che riguarda solo la contribuzione RATEALE.
L'errore si genera poiché il campo relativo al “codice tipo legame” è stato compilato con dei domini non accessibili.
</t>
  </si>
  <si>
    <t>DQR - BND CRIF &gt; 703 - COD ANAGRAFICO DA ENTE NON VALORIZZATO - LEGAME AC, G, EN</t>
  </si>
  <si>
    <t>L'errore si genera poiché non è stato valorizzato il campo “codice anagrafico da ente” obbligatorio da tracciato.</t>
  </si>
  <si>
    <t>DQR - BND CRIF &gt; 704 - COD ANAGRAFICO RIFERIMENTO E RUOLO NON VALORIZZATI - LEGAME AC</t>
  </si>
  <si>
    <t xml:space="preserve">Errore che riguarda solo la contribuzione NON RATEALE.
L'errore si genera a fronte di invio di un'anagrafica in cui il codice anagrafico di cointestazione ed il relativo ruolo che ricopre non è stato valorizzato.
</t>
  </si>
  <si>
    <t>DQR - BND CRIF &gt; 705 - COD ANAGRAFICO RIFERIMENTO E RUOLO VALORIZZATI - LEGAME AC</t>
  </si>
  <si>
    <t xml:space="preserve">L'errore si genera a fronte di invio di un'anagrafica in cui il campo relativo al “ruolo” o “codice tipo legame” sono valorizzati correttamente, ma in aggiunta è stato indicato anche il codice di cointestazione.
Ad esempio parliamo di un anagrafica con unico richiedente in cui è presente il codice di cointestazione.
</t>
  </si>
  <si>
    <t>DQR - BND CRIF &gt; 706 - RUOLO VALORIZZATO PER ANAGRAFICA IN VARIAZIONE - LEGAME AC</t>
  </si>
  <si>
    <t xml:space="preserve">Errore che riguarda solo la contribuzione RATEALE.
L'errore si genera poiché è stato valorizzato il campo “codice tipo legame” in anagrafica in aggiornamento (flag inserimento/variazione = 1).
Ricordiamo che nel manuale di contribuzione batch mensile sono riportate le regole guida di segnalazione dei rapporti ed anagrafiche così come le regole di obbligatorietà e valorizzazione.
</t>
  </si>
  <si>
    <t>DQR - BND CRIF &gt; 707 - COD CONTRATTO DA ENTE VALORIZZATO PER ANAGRAFICA IN  VARIAZIONE - LEGAME AC</t>
  </si>
  <si>
    <t xml:space="preserve">Errore che riguarda solo la contribuzione RATEALE.
L'errore si genera poiché è stato valorizzato il campo “codice operazione rapporto” in anagrafica in aggiornamento (flag inserimento/variazione = 1).
Ricordiamo che nel manuale di contribuzione batch mensile sono riportate le regole guida di segnalazione dei rapporti ed anagrafiche così come le regole di obbligatorietà e valorizzazione.
</t>
  </si>
  <si>
    <t>DQR - BND CRIF &gt; 708 - RUOLO NON VALORIZZATO PER ANAGRAFICA IN INSERIMENTO - LEGAME AC</t>
  </si>
  <si>
    <t xml:space="preserve">Errore che riguarda solo la contribuzione RATEALE.
L'errore si genera poiché il campo relativo al “codice tipo legame” non è stato compilato a fronte di anagrafica in inserimento (in cui è obbligatoria la valorizzazione).
Ricordiamo che nel manuale di contribuzione batch mensile sono riportate le regole guida di segnalazione dei rapporti ed anagrafiche così come le regole di obbligatorietà e valorizzazione.
</t>
  </si>
  <si>
    <t>DQR - BND CRIF &gt; 709 - COD CONTRATTO DA ENTE NON VALORIZZATO PER ANAGRAFICA IN INSERIMENTO - LEGAME AC</t>
  </si>
  <si>
    <t xml:space="preserve">Errore che riguarda solo la contribuzione RATEALE.
L'errore si genera poiché il campo relativo al “codice operazione rapporto” non è stato compilato a fronte di anagrafica in inserimento (in cui è obbligatoria la valorizzazione).
Ricordiamo che nel manuale di contribuzione batch mensile sono riportate le regole guida di segnalazione dei rapporti ed anagrafiche così come le regole di obbligatorietà e valorizzazione.
</t>
  </si>
  <si>
    <t xml:space="preserve">DQR - BND CRIF &gt; 70 - TIPO ERRATO: SALDO ATTIVO </t>
  </si>
  <si>
    <t xml:space="preserve">Errore che riguarda solo la contribuzione NON RATEALE.
L'errore si genera poiché il campo relativo al “saldo attivo” non è stato compilato correttamente.
</t>
  </si>
  <si>
    <t>DQR - BND CRIF &gt; 710 - TIPO LEGAME TRA SOGGETTI DIVERSO DA S, C - LEGAME AA</t>
  </si>
  <si>
    <t>L'errore si genera poiché il campo relativo al “tipo legame” riguardo contestazioni e legami tra socio e società non è stato compilato correttamente.</t>
  </si>
  <si>
    <t>DQR - BND CRIF &gt; 711 - RUOLO DIVERSO DA BLANK - LEGAME AA, G, EN</t>
  </si>
  <si>
    <t>L'errore si genera poiché il campo relativo al “tipo legame” non è stato compilato correttamente o con parametri non previsti nelle tabelle di dominio.</t>
  </si>
  <si>
    <t>DQR - BND CRIF &gt; 712 - COD ANAGRAFICO RIFERIMENTO  NON VALORIZZATO - LEGAME AA, G,EN</t>
  </si>
  <si>
    <t>L'errore si genera poiché il campo relativo al codice anagrafico di riferimento (esempio il codice di cointestazione) non è stato valorizzato correttamente.</t>
  </si>
  <si>
    <t>DQR - BND CRIF &gt; 713 - COD CONTRATTO DA ENTE VALORIZZATO - LEGAME AA</t>
  </si>
  <si>
    <t>L'errore si genera poiché nel caso di comunicazione di legame tra socio e società è stato comunque valorizzando il campo “codice operazione rapporto” non previsto per tali segnalazioni</t>
  </si>
  <si>
    <t>DQR - BND CRIF &gt; 714 - TIPI LEGAMI SOGGETTI DIVERSI - LEGAME AA</t>
  </si>
  <si>
    <t>L'errore si genera poiché i soggetti inviati per la cointestazione o per il legame socio-società risultano errati.</t>
  </si>
  <si>
    <t>DQR - BND CRIF &gt; 715 - CODICI ANAGRAFICI DA ENTE DOPPI - LEGAME AA</t>
  </si>
  <si>
    <t>L'errore si genera poiché i soggetti inviati per la cointestazione o per il legame socio-società risultano avere lo stesso codice anagrafico da ente (NDG).</t>
  </si>
  <si>
    <t>DQR - BND CRIF &gt; 716 - RIGA LEGAME UNICA - LEGAME AA</t>
  </si>
  <si>
    <t>L'errore si genera perché si sta cercando di inviare una cointestazione con un unico coobbligato.</t>
  </si>
  <si>
    <t>DQR - BND CRIF &gt; 717 - TIPO LEGAME SOCIO SOCIETA NON  APPARTENENTE AL DOMINIO - LEGAME AA</t>
  </si>
  <si>
    <t>L'errore si genera perché i valori immessi per definire il legame tra socio – società non sono ammessi.</t>
  </si>
  <si>
    <t>DQR - BND CRIF &gt; 718 - COD CONTRATTO DA ENTE NON VALORIZZATO - LEGAME G</t>
  </si>
  <si>
    <t xml:space="preserve">Errore che riguarda solo la contribuzione RATEALE.
L'errore si genera poiché il campo “codice operazione rapporto” non è stato valorizzato a fronte di nuovo inserimento di anagrafica con ruolo di garante.
</t>
  </si>
  <si>
    <t>DQR - BND CRIF &gt; 719 - TIPOLOGIA SOCIO AMMESSA SOLO  PER LEGAMI SOCIO-SOCIETA'</t>
  </si>
  <si>
    <t>L'errore si è verificato poiché il campo “tipo legame” è stato valorizzato ad “S” indicando quindi che si tratta di socio-società quando in realtà rispetto alle altre informazioni inserite, il sistema non riconosce il legame inserito.</t>
  </si>
  <si>
    <t xml:space="preserve">DQR - BND CRIF &gt; 71 - TIPO ERRATO: FLAG CREDITO AGEVOLATO </t>
  </si>
  <si>
    <t xml:space="preserve">Errore che riguarda solo la contribuzione NON RATEALE.
L'errore si genera poiché il campo relativo al “flag credito agevolato” non è stato compilato correttamente.
</t>
  </si>
  <si>
    <t>DQR - BND CRIF &gt; 720 - TIPO_FINANZIATO_GARANTE=3 NON AMMESSO PER LEGAME SOCIO-SOCIETA'</t>
  </si>
  <si>
    <t xml:space="preserve">Errore che riguarda solo la contribuzione RATEALE.
L'errore si genera poiché a fronte di inserimento di un socio, questo viene indicato come società (tipo finanziato garante) anziché persona fisica.
</t>
  </si>
  <si>
    <t xml:space="preserve">DQR - BND CRIF &gt; 727 - POSIZIONE GIURIDICA ERRATA </t>
  </si>
  <si>
    <t xml:space="preserve">Errore che riguarda solo la contribuzione NON RATEALE.
Il campo “Posizione Giuridica” è stato valorizzato con domini non accettabili.
</t>
  </si>
  <si>
    <t xml:space="preserve">DQR - BND CRIF &gt; 72 - ERRORE DI DOMINIO: FLAG CREDITO AGEVOLATO </t>
  </si>
  <si>
    <t xml:space="preserve">Errore che riguarda solo la contribuzione NON RATEALE.
L'errore si genera poiché il campo relativo al “flag credito agevolato” è stato compilato con dei domini non accessibili.
</t>
  </si>
  <si>
    <t>DQR - BND CRIF &gt; 731 - COD ANA DI RIFERIMENTO NON PRESENTE IN BD, ANOMALE, TIPIZZATE</t>
  </si>
  <si>
    <t>L'errore si genera poiché si sta cercando di inviare una cointestazione o legame di socio-società in aggiornamento ma non presente in EURISC.</t>
  </si>
  <si>
    <t>DQR - BND CRIF &gt; 732 - CODANADIRIF PRESENTE IN TAB LEGAMI COINTESTAZIONE</t>
  </si>
  <si>
    <t xml:space="preserve">Errore che riguarda solo la contribuzione NON RATEALE.
L'errore si genera a fronte di invio in inserimento di una cointestazione il cui codice di riferimento è già presente in EURISC.
</t>
  </si>
  <si>
    <t>DQR - BND CRIF &gt; 733 - CODANADIRIF PRESENTE IN TAB LEGAMI ANOMALI</t>
  </si>
  <si>
    <t xml:space="preserve">Errore che riguarda solo la contribuzione NON RATEALE.
L'errore si genera a fronte di invio in inserimento di una cointestazione il cui codice di riferimento è già presente in EURISC come record anomalo.
</t>
  </si>
  <si>
    <t>DQR - BND CRIF &gt; 734 - CODANADIRIF PRESENTE IN TAB CODANADAENTE</t>
  </si>
  <si>
    <t>L'errore si genera a fronte di invio in inserimento di una cointestazione il cui codice di riferimento è uguale al codice anagrafico da ente dei singoli che compongono la cointestazione o il legame socio-società.</t>
  </si>
  <si>
    <t xml:space="preserve">DQR - BND CRIF &gt; 739 - SIGLA CCIAA ERRATA </t>
  </si>
  <si>
    <t xml:space="preserve">Errore che riguarda solo la contribuzione NON RATEALE.
Il campo “Sigla CCIAA” è stato valorizzato erroneamente.
</t>
  </si>
  <si>
    <t>DQR - BND CRIF &gt; 73 - TIPO ERRATO: ALTRE GARANZIE SACE</t>
  </si>
  <si>
    <t xml:space="preserve">Errore che riguarda solo la contribuzione NON RATEALE.
L'errore si genera poiché il campo relativo a “altre garanzie SACE” non è stato compilato correttamente.
</t>
  </si>
  <si>
    <t>DQR - BND CRIF &gt; 751 - RUOLO DIVERSO DA G E CONTRATTO NON PRESENTE IN  BIDONE CONTRATTI</t>
  </si>
  <si>
    <t xml:space="preserve">Errore che riguarda solo la contribuzione RATEALE.
L'errore si genera a fronte di invio di anagrafica con ruolo di garante collegata ad un contratto che non è stato inviato in input nel flusso di contribuzione.
</t>
  </si>
  <si>
    <t>DQR - BND CRIF &gt; 752 - RUOLO DIVERSO DA G E CONTRATTO PRESENTE IN DB</t>
  </si>
  <si>
    <t xml:space="preserve">Errore che riguarda solo la contribuzione RATEALE.
L'errore si genera a fronte di un rinvio di un'anagrafica già presente in EURISC collegata a un determinato contratto il cui ruolo risulta essere diverso da G.
</t>
  </si>
  <si>
    <t xml:space="preserve">DQR - BND CRIF &gt; 753 - CODICE FISCALE OMESSO </t>
  </si>
  <si>
    <t xml:space="preserve">L'errore si genera a fronte della mancata valorizzazione del campo Codice Fiscale e dei dati del luogo e data di nascita (questi ultimi necessari per l'eventuale calcolo del codice fiscale).
In aggiornamento, rinviare il record in variazione con il dato correttamente valorizzato (flag inserimento/variazione = 1).
In inserimento, rinviare sia l'anagrafica che il contratto collegato con il dato valorizzato correttamente in inserimento (flag inserimento/variazione = 0 per entrambi). 
</t>
  </si>
  <si>
    <t>DQR - BND CRIF &gt; 753 - RUOLO DIVERSO DA G E CONTRATTO NON PRESENTE IN DB E PRESENTE IN CONTRATTI ANOMALI</t>
  </si>
  <si>
    <t xml:space="preserve">Errore che riguarda solo la contribuzione RATEALE.
L'errore si genera a fronte di invio di anagrafica con ruolo diverso da garante collegata ad un contratto che è presente in EURISC ma nel comparto anomalo.
</t>
  </si>
  <si>
    <t>DQR - BND CRIF &gt; 754 - RUOLO UGUALE A G E CONTRATTO NON PRESENTE IN  BIDONE CONTRATTI E IN DB</t>
  </si>
  <si>
    <t xml:space="preserve">Errore che riguarda solo la contribuzione RATEALE.
L'errore si genera a fronte di invio di anagrafica con ruolo di garante collegata ad un contratto che non è stato inviato in input nel flusso di contribuzione ne è presente in EURISC.
</t>
  </si>
  <si>
    <t>DQR - BND CRIF &gt; 755 - RUOLO UGUALE A G E CONTRATTO NON PRESENTE IN DB E PRESENTE IN CONTRATTI ANOMALI</t>
  </si>
  <si>
    <t xml:space="preserve">Errore che riguarda solo la contribuzione RATEALE.
L'errore si genera a fronte di invio di anagrafica con ruolo di garante collegata ad un contratto che non è stato inviato in input ma presente in EURISC nel comparto anomalo.
</t>
  </si>
  <si>
    <t>DQR - BND CRIF &gt; 756 - LEGAME ANAGRAFICA-CONTRATTO PRESENTE IN BD CON RUOLO  DIVERSO DA G</t>
  </si>
  <si>
    <t xml:space="preserve">Errore che riguarda solo la contribuzione RATEALE.
L'errore si genera poiché si sta tentando di inviare in aggiornamento un anagrafica con ruolo che è già presente in EURISC ma con ruolo diverso da quello in input.
</t>
  </si>
  <si>
    <t>DQR - BND CRIF &gt; 757 - RUOLO UGUALE A G E CONTRATTO GIA PRESENTE IN LEGAMI ANOMALI CON RUOLO DIVERSO DA G</t>
  </si>
  <si>
    <t>L'errore si genera a fronte di invio di un'anagrafica con il ruolo di garante che è già stata segnalata precedentemente e che risulta essere anomala con ruolo non di garante.</t>
  </si>
  <si>
    <t xml:space="preserve">DQR - BND CRIF &gt; 758 - ANAGRAFICA COLLEGATA AD UN CONTRATTO NON ELABORABILE </t>
  </si>
  <si>
    <t xml:space="preserve">Errore che riguarda solo la contribuzione NON RATEALE.
L'errore è generato poiché l'anagrafica è collegata ad un contratto “non elaborabile” ovvero che non può essere caricato in EURISC.
</t>
  </si>
  <si>
    <t xml:space="preserve">DQR - BND CRIF &gt; 765 - COD ANA RIF PRESENTE IN DB </t>
  </si>
  <si>
    <t xml:space="preserve">Errore che riguarda solo la contribuzione NON RATEALE.
L'errore è generato poiché è stata comunicata una contestazione il cui codice anagrafico primario (o meglio detto della cointestazione) è già presente in EURISC. Una volta comunicata la compagine della cointestazione, questa non va più inviata a meno che non venga aggiornato qualcosa per cui va contribuita come nuova con tutte le anagrafiche collegate (in inserimento sia il record che riporta il codice di contestazione sia le singole anagrafiche).
</t>
  </si>
  <si>
    <t xml:space="preserve">DQR - BND CRIF &gt; 766 - ANAGRAFICA NON CENSITA IN DB </t>
  </si>
  <si>
    <t xml:space="preserve">Errore che riguarda solo la contribuzione NON RATEALE.
L'errore si genera poiché è stato inviato in contribuzione il record di legame tra un'anagrafica ed un codice di cointestazione, ma non è stato fornito il dettaglio, quindi tutti i dati identificativi dell'anagrafica stessa collegata. 
</t>
  </si>
  <si>
    <t xml:space="preserve">DQR - BND CRIF &gt; 767 - SOCIETA‟ NON CENSITA IN DB </t>
  </si>
  <si>
    <t>L'errore è generato dall'invio del record anagrafico di un socio collegato ad una società. Viene verificata l'effettiva presenza della società a cui collegare il socio e nel momento in cui i dettagli della società non sono presenti in EURISC, viene rilevata l'anomalia.</t>
  </si>
  <si>
    <t>DQR - BND CRIF &gt; 771 - RICHIEDENTI E COOBBLIGATI ASSENTI</t>
  </si>
  <si>
    <t>L'errore si genera a fronte di invio di un contratto al quale non sono collegate anagrafiche di soggetti direttamente obbligati (ovvero di anagrafiche con ruolo di richiedente o coobbligato).</t>
  </si>
  <si>
    <t>DQR - BND CRIF &gt; 772 - PRESENTI SIA RICHIEDENTI CHE COOBBLIGATI</t>
  </si>
  <si>
    <t xml:space="preserve">L'errore si genera a fronte di invio di un contratto al quale sono collegate anagrafiche sia di richiedente che di coobbligato.
Ricordiamo che all’interno del manuale di contribuzione sono elencate le possibili combinazioni di ruoli.
</t>
  </si>
  <si>
    <t>DQR - BND CRIF &gt; 773 - PRESENTE UN SOLO COOBBLIGATO</t>
  </si>
  <si>
    <t xml:space="preserve">L'errore si genera poiché a fronte di un contratto a cui è stato collegato solo un'anagrafica di coobbligato.
Ricordiamo che all’interno del manuale di contribuzione sono elencate le possibili combinazioni di ruoli.
</t>
  </si>
  <si>
    <t>DQR - BND CRIF &gt; 774 - PRESENTI PIÙ DI UN RICHIEDENTE</t>
  </si>
  <si>
    <t xml:space="preserve">L'errore si genera poiché a fronte di un contratto a cui sono state collegate più anagrafiche con lo stesso ruolo di richiedente.
Ricordiamo che all’interno del manuale di contribuzione sono elencate le possibili combinazioni di ruoli.
</t>
  </si>
  <si>
    <t>DQR - BND CRIF &gt; 775 - PRESENTI LEGAMI DIVERSI DA RICHIEDENTE O COOBBLIGATO</t>
  </si>
  <si>
    <t xml:space="preserve">L'errore si genera a fronte di invio di un contratto al quale sono collegate solo anagrafiche con rischio di credito indiretto. Ovvero solo di garanti, non sono presenti ne richiedenti ne coobbligati.
Ricordiamo che all’interno del manuale di contribuzione sono elencate le possibili combinazioni di ruoli.
</t>
  </si>
  <si>
    <t xml:space="preserve">DQR - BND CRIF &gt; 77 - TIPO ERRATO: CODICE CREDITO ESPORTAZIONE </t>
  </si>
  <si>
    <t xml:space="preserve">Errore che riguarda solo la contribuzione NON RATEALE.
L'errore si genera poiché il campo relativo al “codice credito esportazione” non è stato compilato correttamente.
</t>
  </si>
  <si>
    <t>DQR - BND CRIF &gt; 781 - ANAGRAFICA DUPLICATA</t>
  </si>
  <si>
    <t>L'errore si genera poiché nel file di input fornito sono stati rilevati più record anagrafici con medesimo codice anagrafico da ente</t>
  </si>
  <si>
    <t xml:space="preserve">DQR - BND CRIF &gt; 78 - ERRORE DI DOMINIO:  CODICE CREDITO ESPORTAZIONE </t>
  </si>
  <si>
    <t xml:space="preserve">Errore che riguarda solo la contribuzione NON RATEALE.
L'errore si genera poiché il campo relativo al “codice credito esportazione” è stato compilato con dei domini non accessibili.
</t>
  </si>
  <si>
    <t xml:space="preserve">DQR - BND CRIF &gt; 790 - RECORD LEGATO A LEGAME ANOMALO </t>
  </si>
  <si>
    <t>L'anomalia identifica che il record anagrafico a cui è collegato il legame è anomalo. Fino a che le anagrafiche collegate non saranno sistemate, l'intero set della contestazione rimarrà anomalo.</t>
  </si>
  <si>
    <t xml:space="preserve">DQR - BND CRIF &gt; 803 - CONTRATTO POSITIVO E FLAG PRIOR CHECKING VALORIZZATO A 'S' </t>
  </si>
  <si>
    <t xml:space="preserve">Errore che riguarda solo la contribuzione RATEALE.
L'errore si genera a fronte di invio di un rapporto di credito con flag prior cheking valorizzato ma le informazioni presenti nel contratto sono positive.
Ricordiamo che per la corretta gestione del “flag Prior Cheking” utile per la gestione delle posizioni senza consenso o per le quali è stata richiesta revoca del consenso da parte del consumatore, consultare il manuale di contribuzione batch mensile.
</t>
  </si>
  <si>
    <t>DQR - BND CRIF &gt; 809 - CODICE FISCALE NON PRESENTE PER ANAGRAFICA SOCIETA'</t>
  </si>
  <si>
    <t>L'errore si genera perché il campo codice fiscale, obbligatorio da tracciato, non è stato valorizzato per anagrafica di società.</t>
  </si>
  <si>
    <t>DQR - BND CRIF &gt; 810 - CODICE FISCALE CON LUNGHEZZA ERRATA PER ANAGRAFICA SOCIETA'</t>
  </si>
  <si>
    <t>L'errore si genera poiché il codice fiscale comunicato a parità di un'anagrafica di società non è corretto, nello specifico presenta meno di 11 caratteri.</t>
  </si>
  <si>
    <t xml:space="preserve">DQR - BND CRIF &gt; 811 - CODICE FISCALE CON LUNGHEZZA ERRATA PER ANAGRAFICA PF o DI </t>
  </si>
  <si>
    <t>L'errore si genera poiché il codice fiscale comunicato a parità di un'anagrafica di ditta individuale e/o persona fisica non è corretto, nello specifico presenta meno di 16 caratteri.</t>
  </si>
  <si>
    <t xml:space="preserve">DQR - BND CRIF &gt; 814 - CODICE CAP NON NUMERICO </t>
  </si>
  <si>
    <t>L'errore si genera poiché il “CAP” non è stato valorizzato correttamente, nello specifico contiene caratteri alfanumerici.</t>
  </si>
  <si>
    <t xml:space="preserve">DQR - BND CRIF &gt; 829 - INDIRIZZO INCOMPLETO </t>
  </si>
  <si>
    <t xml:space="preserve">L'errore si genera poiché i dati relativi all'indirizzo (residenza o domicilio) non sono completi non permettendo pertanto il riconoscimento dell'indirizzo stesso. 
Ricordiamo che le informazioni riguardo i dati della residenza e del domicilio devono essere sempre compilati tutti, se compilati parzialmente (solo CAP e indirizzo ad esempio) viene generata anomalia sull’intero set di informazioni. 
</t>
  </si>
  <si>
    <t xml:space="preserve">DQR - BND CRIF &gt; 833 - CAMPO OBBLIGATORIO MANCANTE O ERRATO: COD ANAGRAFICO DA ENTE </t>
  </si>
  <si>
    <t>L'errore si genera poiché il campo “codice anagrafico da ente” (obbligatorio da tracciato) non è stato valorizzato.</t>
  </si>
  <si>
    <t xml:space="preserve">DQR - BND CRIF &gt; 834 - CAMPO OBBLIGATORIO MANCANTE O ERRATO: SESSO </t>
  </si>
  <si>
    <t>L'errore si genera poiché il campo “sesso” (obbligatorio da tracciato) non è stato valorizzato.</t>
  </si>
  <si>
    <t xml:space="preserve">DQR - BND CRIF &gt; 836 - CAMPO OBBLIGATORIO MANCANTE O ERRATO: NAZIONE O COMUNE DI NASCITA  </t>
  </si>
  <si>
    <t xml:space="preserve">L'errore si genera in quanto non è stato valorizzato il campo della Nazione (se nati all'estero)/Comune (se nati in Italia) di nascita. All'interno del tracciato non è presente un campo apposito per indicare la provincia, ma va valorizzata accanto al comune di nascita (esempio Roma, RM).
Nel caso di Comuni di nascita esteri i valori dovranno essere così valorizzati: nazione, provincia EE (esempio FRANCIA, EE). 
</t>
  </si>
  <si>
    <t xml:space="preserve">DQR - BND CRIF &gt; 83 - TIPO ERRATO: PREFINANZIAMENTO MUTUO </t>
  </si>
  <si>
    <t xml:space="preserve">Errore che riguarda solo la contribuzione NON RATEALE.
L'errore si genera poiché il campo relativo al “prefinanziamento mutuo” non è stato compilato correttamente.
</t>
  </si>
  <si>
    <t>DQR - BND CRIF &gt; 84 - ERRORE DI DOMINIO: PREFINANZIAMENTO MUTUO</t>
  </si>
  <si>
    <t xml:space="preserve">Errore che riguarda solo la contribuzione NON RATEALE.
L'errore si genera poiché il campo relativo al “prefinanziamento mutuo” è stato compilato con dei domini non accessibili.
</t>
  </si>
  <si>
    <t xml:space="preserve">DQR - BND CRIF &gt; 85 - TIPO ERRATO: CODICE CREDITO RIORGANIZZATO </t>
  </si>
  <si>
    <t xml:space="preserve">Errore che riguarda solo la contribuzione NON RATEALE.
L'errore si genera poiché il campo relativo al "codice credito riorganizzato” non è stato compilato correttamente.
</t>
  </si>
  <si>
    <t xml:space="preserve">DQR - BND CRIF &gt; 86 - ERRORE DI DOMINIO: CODICE CREDITO RIORGANIZZATO </t>
  </si>
  <si>
    <t xml:space="preserve">Errore che riguarda solo la contribuzione NON RATEALE.
L'errore si genera poiché il campo relativo al “codice credito riorganizzato” è stato compilato con dei domini non accessibili.
</t>
  </si>
  <si>
    <t xml:space="preserve">DQR - BND CRIF &gt; 87 - TIPO ERRATO: CODICE TIPO CESSIONE EFFETTI </t>
  </si>
  <si>
    <t xml:space="preserve">Errore che riguarda solo la contribuzione NON RATEALE.
L'errore si genera poiché il campo relativo al “codice tipo cessione effetti” non è stato compilato correttamente.
</t>
  </si>
  <si>
    <t xml:space="preserve">DQR - BND CRIF &gt; 88 - ERRORE DI DOMINIO:  CODICE TIPO CESSIONE EFFETTI </t>
  </si>
  <si>
    <t xml:space="preserve">Errore che riguarda solo la contribuzione NON RATEALE.
L'errore si genera poiché il campo relativo al “codice tipo cessione effetti” è stato compilato con dei domini non accessibili.
</t>
  </si>
  <si>
    <t xml:space="preserve">DQR - BND CRIF &gt; 91 - TIPO ERRATO: DATA ULTIMO MOVIMENTO </t>
  </si>
  <si>
    <t xml:space="preserve">Errore che riguarda solo la contribuzione NON RATEALE.
L'errore si genera poiché il campo relativo alla “data ultimo movimento” non è stato compilato correttamente.
</t>
  </si>
  <si>
    <t xml:space="preserve">DQR - BND CRIF &gt; 92 - TIPO ERRATO: FLAG VIRTUALE </t>
  </si>
  <si>
    <t xml:space="preserve">Errore che riguarda solo la contribuzione NON RATEALE.
L'errore si genera poiché il campo relativo al “flag virtuale” non è stato compilato correttamente.
</t>
  </si>
  <si>
    <t>DQR - BND CRIF &gt; 93 - ERRORE DI DOMINIO: FLAG VIRTUALE</t>
  </si>
  <si>
    <t xml:space="preserve">Errore che riguarda solo la contribuzione NON RATEALE.
L'errore si genera poiché il campo relativo al “flag virtuale” è stato compilato con dei domini non accessibili.
</t>
  </si>
  <si>
    <t xml:space="preserve">DQR - BND CRIF &gt; 941 - CODICE SESSO ERRATO </t>
  </si>
  <si>
    <t>L'errore si genera poiché il campo “sesso” (obbligatorio da tracciato) è stato valorizzato utilizzando domini non ammessi.</t>
  </si>
  <si>
    <t xml:space="preserve">DQR - BND CRIF &gt; 98 - NUMERO CCIAA NON NUMERICO </t>
  </si>
  <si>
    <t>Il campo Numero CCIAA è stato valorizzato con caratteri non numerici.</t>
  </si>
  <si>
    <t xml:space="preserve">DQR - BND CRIF &gt; 99 - NUMERO REGISTRO DEL TRIB. NON NUMERICO </t>
  </si>
  <si>
    <t>Il campo Numero Registro del Trib. è stato valorizzato con caratteri non numerici.</t>
  </si>
  <si>
    <t xml:space="preserve">DQR - BND CRIF &gt; 99 - RT_CONTROLLO INCROCIATO: DATA INIZIO OPERAZIONE&gt;= DATA FINE OPERAZIONE </t>
  </si>
  <si>
    <t xml:space="preserve">Errore che riguarda solo la contribuzione RATEALE.
L'errore si genera poiché il sistema, effettuando dei controlli logico-formali, rileva che la data di inizio del rapporto di credito oggetto di segnalazione è maggiore o uguale rispetto alla data di fine operazione
</t>
  </si>
  <si>
    <t xml:space="preserve">DQR - BND CRIF &gt; 9 - CONTRATTO IN ARCHIVIO,CONTRIBUITO BATCH CON DIVERSE VOCE/SOTTOVOCE </t>
  </si>
  <si>
    <t xml:space="preserve">Errore che riguarda solo la contribuzione NON RATEALE.
L'errore si genera poiché il contratto oggetto di segnalazione è già presente in EURISC ma collegato ad una voce/sottovoce diversa rispetto a quella presente nel flusso di contribuzione in input.
</t>
  </si>
  <si>
    <t>DQR - BND CTC &gt; ER008 - Campo obbligatorio Anagrafe</t>
  </si>
  <si>
    <t>BT - Contribuzione CTC</t>
  </si>
  <si>
    <t>DQ Contribuzione CTC - ANAGRAFE [Ctg]</t>
  </si>
  <si>
    <t>DQR - BND CTC &gt; ER008 - Campo obbligatorio Indirizzi</t>
  </si>
  <si>
    <t>DQ Contribuzione CTC - INDIRIZZI [Ctg]</t>
  </si>
  <si>
    <t>DQR - BND CTC &gt; ER008 - Campo obbligatorio Rapporti</t>
  </si>
  <si>
    <t>DQ Contribuzione CTC - RAPPORTI [Ctg]</t>
  </si>
  <si>
    <t>DQR - BND CTC &gt; ER017 - Scarto ANAGRAFE a causa di INDIRIZZI di tipo RES - LEG in dead lock</t>
  </si>
  <si>
    <t>DQR - BND CTC &gt; ER029 - Scarto RUOLO a causa di INDIRIZZI in dead lock</t>
  </si>
  <si>
    <t>DQ Contribuzione CTC - RUOLO [Ctg]</t>
  </si>
  <si>
    <t>DQR - BND CTC &gt; ER047 - Scarto BENI orfani in quanto non relativi a Rapporti in Contribuzione</t>
  </si>
  <si>
    <t>DQ Contribuzione CTC - BENI [Ctg]</t>
  </si>
  <si>
    <t>DQR - BND CTC &gt; ER103 - Codice fiscale e/o PIVA formalmente errati</t>
  </si>
  <si>
    <t>DQR - BND CTC &gt; ER107 - Anagrafica con CF diverso da precedente</t>
  </si>
  <si>
    <t>DQR - BND CTC &gt; ER113 - Sesso non coerente con CF</t>
  </si>
  <si>
    <t>DQR - BND CTC &gt; ER122 - Dati aggiuntivi superflui per contribuzione CTC</t>
  </si>
  <si>
    <t>DQ Contribuzione CTC - DATIAGG [Ctg]</t>
  </si>
  <si>
    <t>DQR - BND CTC &gt; ER127 - Anagrafica cliente diversa da quella presente nel SIC</t>
  </si>
  <si>
    <t>DQR - BND CTC &gt; ER202 - Scaduto a zero (0) per rapporti con ritardi di pagamento</t>
  </si>
  <si>
    <t>DQR - BND CTC &gt; ER206 - Data chiusura/inizio rapporto anteriore a data richiesta</t>
  </si>
  <si>
    <t>DQR - BND CTC &gt; ER223 - Finanziato/richiesto &lt; soglia minima (50 Euro)</t>
  </si>
  <si>
    <t>DQR - BND CTC &gt; ER225 - Data fine rapporto antecedente alla data inizio rapporto</t>
  </si>
  <si>
    <t>DQR - BND CTC &gt; ER311 - Contribuzione di FASE=CHI per rapporto gia presente in FASE=CHI</t>
  </si>
  <si>
    <t>DQR - BND CTC &gt; ER312 - Data ultimo aggiornamento diversa dal periodo contribuito</t>
  </si>
  <si>
    <t>DQR - BND CTC &gt; ER314 - Coerenza sostituzione cod_rapporto Evento NEW</t>
  </si>
  <si>
    <t>DQR - BND CTC &gt; ER316 - Contribuzione di rapporto CANCellato per revoca</t>
  </si>
  <si>
    <t>DQR - BND CTC &gt; ER317 - Contribuzione di rapporto CANCellato fisicamente (60+24)</t>
  </si>
  <si>
    <t>DQR - CoR P&amp;L</t>
  </si>
  <si>
    <t xml:space="preserve">It: Elementi CoR scaricati dal sistema contabile SAP. 
Gli importi vengono verificati verificando che l'utile prima delle imposte sia in linea con l'importo nel conto economico contabile (come sopra menzionato).
Il team di controllo di gestione verifica inoltre che l'importo corretto degli accantonamenti sia stato registrato nel sistema contabile SAP, confrontando l'importo degli accantonamenti di fine periodo scaricato da SAP [dai dati di bilancio] e quanto condiviso tramite SMS pianificato una volta che il processo di registrazione degli accantonamenti è pronto per essere avviato [“(Rif. XSV011R) INVIO DATI SVALUTAZIONE INDICATI DA COMITATO”]
o   
Altri controlli vengono effettuati sul modello CoR confrontando l'importo contabile con l'anteprima dei calcoli del team di gestione del rischio.
 En: CoR elements downloaded from SAP accounting system. 
The amounts are verified checking if earnings before taxes amount is line with the amount in accounting P&amp;L (as aforementioned). 
Management control team also doublechecks if the correct amount of Provisions was registered in SAP accounting system by comparing end of period Provision amount downloaded from SAP [from balance sheet data] and what was shared by scheduled txt once the provision registering process is ready to be launched [“(Rif. XSV011R ) INVIO DATI SVALUTAZIONE INDICATI DA COMITATO”] 
Other controls are made on CoR Model by comparing the accounting amount with Risk Management team calculations preview email
</t>
  </si>
  <si>
    <t>DQ RAF [Ctg]</t>
  </si>
  <si>
    <t>DQR - Cost to Income Ratio</t>
  </si>
  <si>
    <t xml:space="preserve">It: Spese operative/Utile netto bancario
Entrambi gli elementi del conto economico sono calcolati come somma di una serie di importi contabili; i calcoli vengono elaborati in Excel a partire dai dati scaricati dal sistema contabile SAP.
Per verificare la correttezza dei dati del conto economico (e quindi se tutti gli importi contabili aggiornati sono stati scaricati correttamente), il team di Controllo di Gestione confronta innanzitutto l'importo dell'utile ante imposte con l'importo calcolato automaticamente nel sistema contabile SAP. In un secondo momento, il team di Controllo di Gestione condivide l'importo finale dell'utile ante imposte con l'ufficio fiscale (verifica effettuata via e-mail).
En: Operating expenses/Net banking income
Both P&amp;L elements are calculated as a sum of a series of accounts amount, the calculations are elaborated in excel starting from data downloaded from “SAP accounting system”
To check if the P&amp;L data are correct (therefore if all updated accounts amount where downloaded correctly), Management Control team firstly compares the Earnings Before Taxes amount with the amount automatically calculated in “SAP accounting system”, as a second step Management Control team shares the final Earnings Before Taxes amount with “Fiscal” office (check made via email)
</t>
  </si>
  <si>
    <t>DQR - DOD &gt; 10_Extension of the observation period by 3 months</t>
  </si>
  <si>
    <t>RM - DOD Definition of Default</t>
  </si>
  <si>
    <t xml:space="preserve">Verifiche sull'observation period nei casi di default No Forborne.
Prolungamento del periodo di osservazione nel momento in cui sono osservati per il cliente un numero di giorni di scaduto tra 1-30
</t>
  </si>
  <si>
    <t>DQ Dashboard controlli DOD [Ctg]</t>
  </si>
  <si>
    <t>DQR - DOD &gt; 11_Resetting of the 3-month observation period</t>
  </si>
  <si>
    <t xml:space="preserve">Verifiche sull'observation period nei casi di default No Forborne.
Nel caso in cui sono osservati un numero di giorni di scaduto EBA &gt;30, il periodo di observation deve ripartire, ulteriori 90gg di durata.
</t>
  </si>
  <si>
    <t>DQR - DOD &gt; 12_Start of the 12 month observation period</t>
  </si>
  <si>
    <t xml:space="preserve">Verifica dell'ingresso in observation period nei casi di default Forborne. 
L'observation period di 12 mesi inizia a partire dalla data di ristrutturazione o di una pratica già ristrutturata che ritorna in purgatory, 30 gg no EBA, che ha determinato l'ingresso in default della posizione.
</t>
  </si>
  <si>
    <t>DQR - DOD &gt; 13_End of the 12 month observation period</t>
  </si>
  <si>
    <t xml:space="preserve">Verifica che all'uscita dall'observation period nei casi di default Forborne tutte le seguenti condizioni di uscita sono verificate 
_alla data di osservazione sono trascorsi almeno 12 mesi dalla data di ingresso in observation period;
_Il contratto alla data di osservazione ha avuto 0 scaduto (EBA) per almeno 6 mesi degli ultimi 12 mesi (anche non consecutivi);
 _Il contratto alla data di osservazione ha scaduto (EBA) = 0
 _Il cliente alla data di osservazione non è in default (EBA NO_FORB) 
_Il cliente alla data di osservazione ha giorni di scaduto (EBA) = 0;
 _Il cliente alla data di osservazione Non è in UTP (requisito EBA fase 3);
 _Il cliente alla data di osservazione ha effettuato un pagamento significativo ossia ha pagato, conformemente agli accordi di ristrutturazione, un totale pari: all'importo precedentemente
scaduto al momento della ristrutturazione all'importo stralciato
</t>
  </si>
  <si>
    <t>DQR - DOD &gt; 14_Extension of the observation period by 12 months</t>
  </si>
  <si>
    <t xml:space="preserve">Verifica dell'estensione dall'observation period nei casi di default Forborne. 
Verificare che se le condizioni di uscita non sono verificate allora il periodo di observation viene prolungato di 1 mese
</t>
  </si>
  <si>
    <t>DQR - DOD &gt; 15_Resetting of the 12 month observation period</t>
  </si>
  <si>
    <t xml:space="preserve">Verifica dell'estensione dall'observation period nei casi di default Forborne. 
In caso di nuova ristrutturazione durante l'observation period, l'observation period deve ripartire
</t>
  </si>
  <si>
    <t>DQR - DOD &gt; 16_DIV DT_USCITA_FORBORNE</t>
  </si>
  <si>
    <t xml:space="preserve">DT_USCITA_FORBORNE dalla tabella RMT_PERFORMING_EBA _INTS
 il campo dt_uscita_forborne se valorizzato deve essere successivo alle date di dt_uscita_purgatoy
</t>
  </si>
  <si>
    <t>DQR - DOD &gt; 17_DIV CD_FORBORNE</t>
  </si>
  <si>
    <t>CD_FORBORNE. Verificare che le pratiche Forborne della tabella MF_EBA.RMT_FORBEARANCE _EBA_INTS siano forborne, CD_FORBORNE=F, anche nella tabella MF_EBA.RMT_PERFORMING _EBA_INTS</t>
  </si>
  <si>
    <t xml:space="preserve">DQR - DOD &gt; 1_Calcolo dello scaduto EBA_Arrears </t>
  </si>
  <si>
    <t xml:space="preserve">Calculations: Soglia assoluta 100 euro e numeratore soglia relativa. 
Quadratura PPT_SCADUTO e RVT_SIT_RATA con la tabella RMT _MOVI_EBA _ITS PTT_SCADUTO e RVT_SIT_RATA con la SALDO_CONTR_MM
1_Verificare che l'ambito del calcolo degli arretrati sia costituito dall'importo in capitale, interessi, inclusi gli interessi di mora o commissioni che non sono state pagate entro la data in cui erano dovuti. 
2_ Verificare che la componente assoluta sia la somma di tutti gli importi arretrati dal cliente su tutti i suoi obblighi di credito.
</t>
  </si>
  <si>
    <t>DQR - DOD &gt; 2_Impiego EBA. Exposure</t>
  </si>
  <si>
    <t xml:space="preserve">Calculation: utilizzato nella soglia relativa dell'1% 
Quadratura PPT_SCADUTO e RVT_SIT_RATA con la tabella RMT _MOVI_EBA _ITS PTT_SCADUTO e RVT_SIT_RATA con la SALDO_CONTR_MM
1_Verificare che il calcolo del denominatore, della soglia relativa, corrisponda all'O/S di bilancio in particolare; 
_Il capitale residuo dovuto, CRD
 _Arretrati di capitale e interessi, comprese commissioni e interessi di mora
_Interessi maturati non dovuti, RATEO INTERESSI
</t>
  </si>
  <si>
    <t xml:space="preserve">DQR - DOD &gt; 3_Threshold signification
</t>
  </si>
  <si>
    <t xml:space="preserve">Verificare che la formula per il calcolo della soglia relativa sia correttamente configurata nel sistema informatico. 
Tale formula deve essere la seguente:
rapporto tra la componente scaduta, numeratore, e l'ammontare totale dell'esposizione debitore, O/S, riportato nel bilancio, denominatore.
</t>
  </si>
  <si>
    <t>DQR - DOD &gt; 4_Counting of days in arrears and triggering of the default</t>
  </si>
  <si>
    <t xml:space="preserve">1_Verifica che se non sono superate entrambe le soglie il calcolo dei giorni non venga eseguito
2_Verifica che i giorni di scaduto si azzerino nel momento in cui la soglia relativa di scaduto scende sotto 1% dell'esposizione cliente 
3_Verifica che i giorni di scaduto si azzerino nel momento in cui la soglia assoluta di scaduto scende sotto il valore di 100 Su ciascun cliente prendere il massimo importo di scaduto confrontarlo con i due parametri delle soglie relativa ed assoluta, e se entrambe le soglie sono superate è necessario verificare che i gg di scaduto siano valorizzati.
Verifica dell'ingresso in default al superamento dei 90 giorni di scaduto EBA A livello cliente, verifica che se il cliente nel mese ha superato i 90 gg di scaduto EBA abbia attivato il flag default
</t>
  </si>
  <si>
    <t>DQR - DOD &gt; 5_Ristrutturazioni forborne su posizioni già forborne .New forbearance on forborne debt</t>
  </si>
  <si>
    <t>Verifica che tutte le seguenti tipologie di ristrutturazioni determinano l'ingresso in purgatory period, o la ripartenza dello stesso _ristrutturazioni di posizioni già in forborne non performing _ristrutturazioni di posizioni in forborne performing che sono classificate come C1, C2, C3 con DO &gt;1%</t>
  </si>
  <si>
    <t>DQR - DOD &gt; 6_Collective Procedure</t>
  </si>
  <si>
    <t>Verifica che i contratti in capo a clienti sovraindebitati vengano classificati come forborne non performing con categoria C1</t>
  </si>
  <si>
    <t>DQR - DOD &gt; 7_Contagion between the professional field and the private field</t>
  </si>
  <si>
    <t xml:space="preserve">Verifica dell'applicazione della regola del contagio del default sia implementata anche tra persone fisiche e professional.
N/A per Agos
</t>
  </si>
  <si>
    <t>DQR - DOD &gt; 8_Start of the 3-month observation period</t>
  </si>
  <si>
    <t xml:space="preserve">Verificare sull'observation period nei casi di default No Forborne
_se il cliente ha un numero di giorni di scaduto EBA pari a zero e non sono presenti eventi di UTP, requisito EBA fase 3, il cliente deve entrare in observation period;
 _la data di inzio observation period parte dalla data in cui sul cliente sono osservati zero giorni di scaduto EBA e non sono presenti eventi di UTP
</t>
  </si>
  <si>
    <t>DQR - DOD &gt; 9_End of the 3-month observation period</t>
  </si>
  <si>
    <t xml:space="preserve">Verifiche sull'observation period nei casi di default NO Forborne 
-in caso di presenza di giorni di scaduto EBA &gt;30, il cliente non è più nel periodo di observation; 
- in caso in cui le condizioni di uscita siano verificate il cliente deve uscire dal observation period. 
Le condizioni di uscita sono le seguenti: 
_trascorsi 90 giorni dall'ingresso in observation period 
_assenza giorni di scaduto, zero giorni di scaduto EBA
_assenza di eventi di UTP
</t>
  </si>
  <si>
    <t>DQR - Funding Rate</t>
  </si>
  <si>
    <t xml:space="preserve">It: Dati sul tasso di finanziamento provenienti da SAS
La determinazione del tasso di finanziamento mensile (per ciascun prodotto) segue le seguenti regole:
 §  Il team ALM a metà del mese precedente aggiorna la curva FTP
§   Il team di gestione dati calcola i tassi FTP per ciascun prodotto
§   Il team di controllo di gestione elabora una proposta di FTP per ciascun prodotto per il mese successivo da proporre alla riunione del CFG
§   Nella riunione del CCC, il controllo di gestione ufficializza il FTP concordato nella riunione del CFG
§   La gestione dati carica il FTP concordato in SAS
All'inizio del mese, il team di gestione dati elabora un report contenente anche i tassi FTP provenienti da SAS
Il team di controllo di gestione verifica se i tassi FTP sono in linea con quanto concordato nella riunione del CFG
En:  Funding rate data coming from SAS
 Determination of the monthly funding rate (for each product) follows below rules:
§  ALM team at the middle of the previous month updates the FTP curve
§  Data Management team computes the FTP rates for each product
§  Management Control team make a proposal of FTP for each product for the next month to propose in CFG meeting
§  In CCC meeting Management Control make it official the FTP agreed in CFG meeting
§  Data management uploads the decided FTP in SAS
At the beginning of the month, Data Management team make a report which contain also the FTP rates coming from SAS
Management control team check if the FTP rates are in line with agree on CFG meeting
</t>
  </si>
  <si>
    <t>DQR - Liquidity Coverage Ratio – LCR &gt; GP_CACF_1016_: Completeness Accounting / liquidty stmt</t>
  </si>
  <si>
    <t xml:space="preserve">It: Controllo che viene effettuato di riconciliazione del dato contabile con il dato del bilancio di liquidità (file RICO Arpege - NEwDeal).
Clicca qui per visualizzare il file
En: A reconciliation check is performed between the accounting data and the cash balance data (RICO Arpege - NEWDeal file).
Click here to view the file
</t>
  </si>
  <si>
    <t>DQR - Net Income</t>
  </si>
  <si>
    <t xml:space="preserve">It: Importo del conto economico proveniente da SAP
Per verificare la correttezza dell'utile netto (quindi se tutti gli importi contabili aggiornati sono stati scaricati correttamente), il team di Controllo di Gestione confronta innanzitutto l'importo dell'utile ante imposte con l'importo calcolato automaticamente nel sistema contabile SAP; in un secondo momento, il team di Controllo di Gestione condivide l'importo finale dell'utile ante imposte con l'ufficio fiscale (verifica effettuata via e-mail).
Una volta che l'ufficio fiscale ha verificato gli importi dell'utile ante imposte, è possibile procedere con il calcolo delle imposte per la determinazione del risultato netto. Una volta effettuato il calcolo delle imposte, l'ufficio fiscale condivide l'importo da registrare nel sistema contabile SAP e, una volta registrato, può essere verificato e approvato dall'ufficio fiscale. Il team di Controllo di Gestione scarica l'importo finale dei conti (incluse le imposte aggiornate) dal sistema contabile SAP per calcolare l'utile netto.
En: P&amp;L amount coming from SAP
To check if the Net income is correct (therefore if all updated accounts amount where downloaded correctly), Management Control team firstly compares the Earnings Before Taxes amount with the amount automatically calculated in “SAP accounting system”, as a second step Management Control team shares the final Earnings Before Taxes amount with “Fiscal” (taxation) office (check made via email)
Once Fiscal/ Taxation office has doublechecked the Earning Before Taxes amounts, it is possible to proceeds with the Taxes computation for the Net Result determination. When the Taxes computations are made, Fiscal/ Taxation office shares amount to be recorded in SAP accounting system and, once registered, it can be verified and approved by “Fiscal” office. Management control team downloads final accounts amount (including updated taxes) from SAP accounting system to calculate Net Income
</t>
  </si>
  <si>
    <t>DQR - Net Stable Funding Ratio - NSFR &gt; GP_CACF_1016_: Completeness Accounting / liquidty stmt</t>
  </si>
  <si>
    <t>Net Stable Funding Ratio - NSFR</t>
  </si>
  <si>
    <t>DQR - RONE</t>
  </si>
  <si>
    <t xml:space="preserve">It: Utile netto/RWA:
o Utile netto (vedi KPI Net Income)
o I dati RWA sono calcolati dall'ufficio Regulatory Reporting attraverso i report trimestrali di vigilanza:
En: Net income/RWA:
o  Net income ((see KPI)
o The RWA data are calculated by Regulatory Reporting office through the regulatory quarterly reports
</t>
  </si>
  <si>
    <t>DQR - Spread on new production</t>
  </si>
  <si>
    <t xml:space="preserve">It: Spread sulla nuova produzione: IRR – Tasso di finanziamento:
o  Tasso IRR: dati elaborati in SAS per ogni chiusura mensile, il report finale viene creato automaticamente e condiviso mensilmente (XXVV). 
Per produrre i report mensili, il team di Data Management (del Controllo di Gestione) scarica i dati aggiornati non appena disponibili in SAS e ne verifica la correttezza confrontando prodotto per prodotto con il Report automatico (XXVV) sopra menzionato:
o I tassi di finanziamento sono determinati (vedi KPI)
En: Spread on new production: IRR – Funding rate:
o   IRR rate: data elaborated in SAS for each monthly closing, final report is created automatically and shared monthly (XXVV). In order to produce monthly reports, Data Management team (from Management Control) downloads updated data once available in SAS and doublechecks the correct data download by comparing product by product with the aforementioned automatic Report 
o Financing rates are determined (see KPI)
</t>
  </si>
  <si>
    <t>O_ADP_ANAG_CPART_CQS_T_M &gt; Count(*)</t>
  </si>
  <si>
    <t>Verificare che nella tabella ODS siano presenti record che si riferiscono al mese precedente alla data di generazione del file che alimenta lo staging</t>
  </si>
  <si>
    <t>DQ DWH Oracle [Ctg]</t>
  </si>
  <si>
    <t>O_ADP_APPL_GRIGLIA_EBA_T_M &gt; Count(*)</t>
  </si>
  <si>
    <t>O_ADP_BILANCIO_SAP_T_M &gt; Count(*)</t>
  </si>
  <si>
    <t>O_ADP_BIVI_CONTRATTO_CQS_T_M &gt; Count(*)</t>
  </si>
  <si>
    <t>O_ADP_CARTA_FUTURA_T_M &gt; Count(*)</t>
  </si>
  <si>
    <t>O_ADP_CLI_CONTR_T_M &gt; Count(*)</t>
  </si>
  <si>
    <t>O_ADP_CONTR_CQS_T_M &gt; Count(*)</t>
  </si>
  <si>
    <t>O_ADP_CONTR_GARANZIA_INTS_T_M &gt; Count(*)</t>
  </si>
  <si>
    <t>O_ADP_CONTR_N_I_T_M &gt; Count(*)</t>
  </si>
  <si>
    <t>O_ADP_CONTR_QLTA_CRDTZ_T_M &gt; Count(*)</t>
  </si>
  <si>
    <t>O_ADP_CONTR_VECOFIN_T_O &gt; Count(*)</t>
  </si>
  <si>
    <t>O_ADP_DETT_FASCIA_CQS_T_M &gt; Count(*)</t>
  </si>
  <si>
    <t>O_ADP_DETT_FASCIA_LEAS_T_M &gt; Count(*)</t>
  </si>
  <si>
    <t>O_ADP_ELAB_CONTR_CQS_T_M &gt; Count(*)</t>
  </si>
  <si>
    <t>O_ADP_ELAB_CREDUB_CQS_T_M &gt; Count(*)</t>
  </si>
  <si>
    <t>O_ADP_ESCLS_SOFFE_CF_T_M &gt; Count(*)</t>
  </si>
  <si>
    <t>O_ADP_FLUS_ESTRN_QLTA_T_M &gt; Count(*)</t>
  </si>
  <si>
    <t>O_ADP_FLUS_N_I_BW_T_M &gt; Count(*)</t>
  </si>
  <si>
    <t>O_ADP_MOVI_CNTB_T_M &gt; Count(*)</t>
  </si>
  <si>
    <t>O_ADP_MOVI_SAP_T_M &gt; Count(*)</t>
  </si>
  <si>
    <t>O_ADP_NOPTFCO_EBA_T_M &gt; Count(*)</t>
  </si>
  <si>
    <t>O_ADP_NOPTFRE_EBA_T_M &gt; Count(*)</t>
  </si>
  <si>
    <t>O_ADP_PARAM_GRIGLIA_EBA_T_M &gt; Count(*)</t>
  </si>
  <si>
    <t>O_ADP_PORTAF_CQS_T_M &gt; Count(*)</t>
  </si>
  <si>
    <t>O_ADP_RAGGR_CLI_CNTR_T_M &gt;Count(*)</t>
  </si>
  <si>
    <t>O_ADP_RGRS_CSUMO_EBA_T_M &gt; Count(*)</t>
  </si>
  <si>
    <t>O_ADP_RGRS_CSUMO_T_M &gt; Count(*)</t>
  </si>
  <si>
    <t>O_ADP_RGRS_RVLNG_EBA_T_M &gt; Count(*)</t>
  </si>
  <si>
    <t>O_ADP_RGRS_RVLNG_T_M &gt; Count(*)</t>
  </si>
  <si>
    <t>O_ADP_RISCONTI_CQS_T_M &gt; Count(*)</t>
  </si>
  <si>
    <t>O_ADP_RISK_LIQ_CQS_T_M &gt; Count(*)</t>
  </si>
  <si>
    <t>O_ADP_SALDO_COMP_T_M &gt; Count(*)</t>
  </si>
  <si>
    <t>O_ADP_SALDO_CONTR_MM_CQS_T_M &gt; Count(*)</t>
  </si>
  <si>
    <t>O_ADP_SALDO_FASC_VRES_T_M &gt; Count(*)</t>
  </si>
  <si>
    <t>O_ADP_SOFFE_CF_T_M &gt; Count(*)</t>
  </si>
  <si>
    <t>O_ADP_SOFFE_CONTR_INTS_T_M &gt; Count(*)</t>
  </si>
  <si>
    <t>O_ADP_STATICO_T_M &gt; Count(*)</t>
  </si>
  <si>
    <t>O_ADP_SVALUTAZIONE_T_M &gt; Count(*)</t>
  </si>
  <si>
    <t>O_ADP_SVALZ_ENTE_FINZR_T_M &gt; Count(*)</t>
  </si>
  <si>
    <t>O_ADP_SVALZ_FUORI_BLNC_T_M &gt; Count(*)</t>
  </si>
  <si>
    <t>O_ADP_VARIABILE_T_M &gt; Count(*)</t>
  </si>
  <si>
    <t>O_PLR_CHIAMATA_PRULE_T_G &gt; Count(*)</t>
  </si>
  <si>
    <t>Verificare che le chiamate nella tabella O_PLR_PRULE_T_G CALL siano le stesse delle chiamate nella tabella O_PLR_LOG_OUTPUT_PRULE_1_T_G per il giorno precedente.</t>
  </si>
  <si>
    <t>S_SW_AG_FNS_CREDITLINE_G &gt; Count(*)</t>
  </si>
  <si>
    <t>Verificare che la count della staging S_SW_AG_FNS_CREDITLINE_G sia uguale al campo S_SW_AG_FNS_DQ_Count(*)</t>
  </si>
  <si>
    <t>S_SW_AG_FNS_LOAN_G &gt; Count(*)</t>
  </si>
  <si>
    <t>Verificare che la count della staging S_SW_AG_FNS_LOAN_G sia uguale al campo S_SW_AG_FNS_DQ_Count(*)</t>
  </si>
  <si>
    <t>S_SW_AG_FNS_LOAN_TRANSAC_G &gt; Count(*)</t>
  </si>
  <si>
    <t>Verificare che la somma del campo 'transactionamount' nella tabella S_SW_AG_FNS_LOAN_TRANSAC_G per i filtri prestabiliti sia uguale al valore 'UTILISATION' della tabella TAB_LOG_DQ_FINSTOCK alla XDT_RIFERIMENTO corrispondente</t>
  </si>
  <si>
    <t>Tutti i valori contenuti all'interno dell'area "" dell'XML (eccetto UTILISATION) devono essere corrispondenti all'outpur della query (logica)</t>
  </si>
  <si>
    <t>S_SW_AG_FNS_ORGANISATION_G &gt; Count(*)</t>
  </si>
  <si>
    <t>Verificare che la count della staging S_SW_AG_FNS_ORGANISATION_G sia uguale al campo S_SW_AG_FNS_DQ_Count(*)</t>
  </si>
  <si>
    <t>S_SW_AG_FNS_PLAN_G &gt; Count(*)</t>
  </si>
  <si>
    <t>Verificare che la count della staging S_SW_AG_FNS_PLAN_G sia uguale al campo S_SW_AG_FNS_DQ_Count(*)</t>
  </si>
  <si>
    <t>[Business Term] controled by [Data Quality Rule] &gt; Name</t>
  </si>
  <si>
    <t>Business Term</t>
  </si>
  <si>
    <t>KPI</t>
  </si>
  <si>
    <t>TABELLA</t>
  </si>
  <si>
    <t>ID_CONTROLLO</t>
  </si>
  <si>
    <t>DESC_CONTROLLO</t>
  </si>
  <si>
    <t>CONTROLLO_ESEGUITO</t>
  </si>
  <si>
    <t>eb_ifrs9.ifrs9_rrf_control_contrat_&amp;annos.&amp;meses.</t>
  </si>
  <si>
    <t>B_AIRD_STATUS</t>
  </si>
  <si>
    <t>IF E_APD &lt;&gt; 0 THEN B_AIRD &lt;&gt; 0</t>
  </si>
  <si>
    <t>N</t>
  </si>
  <si>
    <t>B_AOR_STATUS</t>
  </si>
  <si>
    <t>B_AOR &gt;= R_CRD</t>
  </si>
  <si>
    <t>B_APPROACH_STATUS</t>
  </si>
  <si>
    <t>IF S_PDE &lt;&gt; BLANK THEN B_APPROACH= IRB A</t>
  </si>
  <si>
    <t>S</t>
  </si>
  <si>
    <t>B_APPROACH_STATUS2</t>
  </si>
  <si>
    <t>IF S_PDE= BLANK THEN B_APPROACH BELONG TO (STD OR STDA)</t>
  </si>
  <si>
    <t>B_CAP_STATUS</t>
  </si>
  <si>
    <t>IF B_CAP = 02 THEN B_ASF = REVOL</t>
  </si>
  <si>
    <t>B_CAP_STATUS2</t>
  </si>
  <si>
    <t>IF B_CAP = 03 THEN B_ASF NE REVOL</t>
  </si>
  <si>
    <t>B_CDA_STATUS</t>
  </si>
  <si>
    <t>IF B_NATHB &lt;&gt; NAT07 THEN B_CDA &lt;= R_SNA</t>
  </si>
  <si>
    <t>B_CRD_STATUS</t>
  </si>
  <si>
    <t>IF E_APD NOT IN (0,.) THEN B_CRD &lt;&gt; R_CRD</t>
  </si>
  <si>
    <t>B_EDA_STATUS</t>
  </si>
  <si>
    <t>IF S_RCL &lt;&gt; 40 THEN R_SNA &lt;= B_EDA</t>
  </si>
  <si>
    <t>B_MAT_STATUS</t>
  </si>
  <si>
    <t>NUMBER OF MONTHS BETWEEN B_CDA AND B_EDA</t>
  </si>
  <si>
    <t>B_NATHB_STATUS</t>
  </si>
  <si>
    <t>IF E_OFF NOT IN (0,.) THEN B_NATHB EQ NAT07</t>
  </si>
  <si>
    <t>B_NAT_STATUS</t>
  </si>
  <si>
    <t>IF B_NAT = NA020 THEN B_APPROACH = IRB A</t>
  </si>
  <si>
    <t>B_NAT_STATUS2</t>
  </si>
  <si>
    <t>IF (B_NAT = NA021 OR B_NAT = NA022) THEN S_PDE = 0 AND S_LGD = 0</t>
  </si>
  <si>
    <t>B_NAT_STATUS3</t>
  </si>
  <si>
    <t>IF B_NAT = NA022 THEN (S_RCL = 20 OR S_RCL = 30 OR S_RCL = 40)</t>
  </si>
  <si>
    <t>B_NAT_STATUS4</t>
  </si>
  <si>
    <t>IF B_NAT = NA022 THEN S_NPE = Y</t>
  </si>
  <si>
    <t>B_NIR_STATUS</t>
  </si>
  <si>
    <t>IF B_NIR &gt; 1 THEN B_NIR = 999999999999999</t>
  </si>
  <si>
    <t>B_OBJECT_FIN_STATUS</t>
  </si>
  <si>
    <t>IF B_CAP IN (02,03,04) THEN B_OBJECT_FIN BELONG TO (11,12,13,97,98)</t>
  </si>
  <si>
    <t>B_OMP_STATUS</t>
  </si>
  <si>
    <t>IF R_ENT = 45000 THEN B_OMP =1</t>
  </si>
  <si>
    <t>B_OMP_STATUS2</t>
  </si>
  <si>
    <t>IF P_BUCK = 3 THEN B_OMP =2</t>
  </si>
  <si>
    <t>B_OMP_STATUS3</t>
  </si>
  <si>
    <t>IF P_BUCK &lt;&gt; 3 THEN B_OMP = 4</t>
  </si>
  <si>
    <t>B_PROD_STATUS</t>
  </si>
  <si>
    <t>IF  B_ASF = REVOL THEN B_PROD = PRI102</t>
  </si>
  <si>
    <t>B_PROD_STATUS2</t>
  </si>
  <si>
    <t>IF B_ASF = PERSO THEN B_PROD IN (PRI103, PRI104)</t>
  </si>
  <si>
    <t>B_PROD_STATUS3</t>
  </si>
  <si>
    <t>IF C_PORTYPE IN (011, 012, 013, 900) THEN B_PROD BELONG TO (PRI102 ==&gt; PRI109)</t>
  </si>
  <si>
    <t>B_RESMAT_STATUS</t>
  </si>
  <si>
    <t>IF B_ASF&lt;&gt;REVOL  AND (B_EDA- R_SNA &gt;= 0 )THEN B_RESMAT=B_EDA-R_SNA (IN MONTHS)</t>
  </si>
  <si>
    <t>B_SDC_STATUS</t>
  </si>
  <si>
    <t>IF B_CAP = 02 AND R_SNA-B_EDA &gt; 1 YEAR THEN B_SDC &lt;&gt; B_EDA</t>
  </si>
  <si>
    <t>C_NOTIFRS9_STATUS</t>
  </si>
  <si>
    <t>IF C_NOTIFRS9 = 00 THEN S_RCL = 00 ELSE KO</t>
  </si>
  <si>
    <t>C_NOTORIFRS9_STATUS</t>
  </si>
  <si>
    <t>IF B_APPROACH&lt;&gt; STD AND R_SNA-R_BEG_DATE &gt; 6 (MONTHS) THEN S_PDE_OR_TTC &lt;&gt; NA</t>
  </si>
  <si>
    <t>C_PORTYPE_STATUS</t>
  </si>
  <si>
    <t>IF B_CAP = 81 THEN C_PORTYPE = 011</t>
  </si>
  <si>
    <t>C_PORTYPE_STATUS2</t>
  </si>
  <si>
    <t>IF B_CAP = 80 THEN C_PORTYPE=014</t>
  </si>
  <si>
    <t>C_PORTYPE_STATUS3</t>
  </si>
  <si>
    <t>IF B_CAP = 02 THE C_PORTYPE= 012</t>
  </si>
  <si>
    <t>C_PORTYPE_STATUS4</t>
  </si>
  <si>
    <t>IF B_CAP NOT IN (81 80 02) THEN C_PORTYPE= 900</t>
  </si>
  <si>
    <t>D_CANCEL_STATUS</t>
  </si>
  <si>
    <t>IF C1. B_BPM = 010 AND D_CANCEL &lt;&gt; BLANK THEN S_RCL = 30 OR 40</t>
  </si>
  <si>
    <t>D_EXITNPE_STATUS</t>
  </si>
  <si>
    <t>IF D_EXITNPE&lt;&gt;BLANK THEN S_NPE =N</t>
  </si>
  <si>
    <t>D_NOTE_STATUS</t>
  </si>
  <si>
    <t>IF C_NOTE &lt;&gt; NA THEN D_NOTE &lt;&gt; BLANK</t>
  </si>
  <si>
    <t>D_NOTORIFRS9_STATUS</t>
  </si>
  <si>
    <t>IF C_NOTORIFRS9 &lt;&gt; NA THEN D_NOTORIFRS9 &lt;&gt; BLANK</t>
  </si>
  <si>
    <t>D_NPE_STATUS</t>
  </si>
  <si>
    <t>IF D_NPE&lt;&gt;BLANK THEN S_NPE=Y OR D_EXITNPE&lt;&gt;BLANK</t>
  </si>
  <si>
    <t>D_OVER_STATUS</t>
  </si>
  <si>
    <t>IF E_APD&gt;0 THEN D_OVER&lt;&gt;BLANK</t>
  </si>
  <si>
    <t>E_APD_STATUS</t>
  </si>
  <si>
    <t>IF S_DPD &lt;&gt; 0 AND &lt;&gt; 9999 THEN E_APD &lt;&gt; 0</t>
  </si>
  <si>
    <t>E_APD_STATUS2</t>
  </si>
  <si>
    <t>IF E_APD &gt; 0 THEN D_OVER&lt;&gt;BLANK</t>
  </si>
  <si>
    <t>E_CCF_STATUS</t>
  </si>
  <si>
    <t>IF E_CCF &gt; 1 THEN E_CCF = 999999999999999</t>
  </si>
  <si>
    <t>E_CCF_STATUS2</t>
  </si>
  <si>
    <t>IF B_APPROACH= IRB A AND B_ASF &lt;&gt; REVOL THEN E_CCF = 999999999999999</t>
  </si>
  <si>
    <t>E_DWOF_STATUS</t>
  </si>
  <si>
    <t>IF E_WOF &lt;&gt; 0 OR E_PWOF &lt;&gt; 0 THEN  E_DWOF &lt;&gt; BLANK</t>
  </si>
  <si>
    <t>E_EAD_STATUS</t>
  </si>
  <si>
    <t>IF E_EAD &lt;&gt;  E_ONB +  (E_OFF *  E_CCF) THEN COUNT THE LINE</t>
  </si>
  <si>
    <t>IF S_RCL &lt;&gt; 40 AND B_APPROACH &lt;&gt; IRB A                             ((B_APPROACH IN (STDA,STD) AND B_PORD = PRI102 AND CD_APPLICAZIONE = 19 AND E_EAD &lt;&gt;  E_ONB + (E_OFF*0) - P_SPE) OR                             (B_APPROACH IN (STDA,STD) AND B_PORD &lt;&gt; PRI102 AND CD_APPLICAZIONE &lt;&gt; 19 E_EAD &lt;&gt;  E_ONB + (E_OFF*0.2) - P_SPE))</t>
  </si>
  <si>
    <t>IF S_RCL &lt;&gt; 40 AND B_APPROACH &lt;&gt; IRB A                   ((B_APPROACH IN (STDA,STD) AND B_PORD = PRI102 AND CD_APPLICAZIONE = 19 AND E_EAD &lt;&gt;  E_ONB + (E_OFF*0) - P_SPE) OR                   (B_APPROACH IN (STDA,STD) AND B_PORD &lt;&gt; PRI102 AND CD_APPLICAZIONE &lt;&gt; 19 E_EAD &lt;&gt;  E_ONB + (E_OFF*0.2) - P_SPE))</t>
  </si>
  <si>
    <t>E_LEASE_STATUS</t>
  </si>
  <si>
    <t>IF B_PROD IN (PRI105 TRE501 TRE502 TRE504 TRE505 TRE509) AND E_WOF = 0 THEN E_LEASE &lt;&gt; 0</t>
  </si>
  <si>
    <t>E_OFF_STATUS</t>
  </si>
  <si>
    <t>IF B_ASF = REVOL THEN E_OFF &lt;&gt; 0</t>
  </si>
  <si>
    <t>E_ONB_STATUS</t>
  </si>
  <si>
    <t>IF B_PROD = PRI105; TRE501 ==&gt; TRE509; E_ONB= E_LEASE</t>
  </si>
  <si>
    <t>IF B_PROD = PRI105; TRE501 ==&gt; TRE509; E_ONB= E_LEASE+B_AIRD</t>
  </si>
  <si>
    <t>E_ONB_STATUS2</t>
  </si>
  <si>
    <t>IF B_PROD NE PRI105; TRE501 ==&gt; TRE509; E_ONB = B_CRD+B_AIRD</t>
  </si>
  <si>
    <t>E_PURCHASE_STATUS</t>
  </si>
  <si>
    <t>IF B_PROD IN (PRI105,TRE501,TRE502,TRE504,TRE505,TRE509)  THEN E_PURCHASE BELONG TO (1;2)</t>
  </si>
  <si>
    <t>E_PURCHASE_STATUS2</t>
  </si>
  <si>
    <t>IF B_PROD NOT IN (PRI105,TRE501,TRE502,TRE504,TRE505,TRE509)   THEN  E_PURCHASE = 0</t>
  </si>
  <si>
    <t>E_PWOF_STATUS</t>
  </si>
  <si>
    <t>IF E_PWOF &lt;&gt; 0 THEN E_ONB &lt;&gt; 0</t>
  </si>
  <si>
    <t>E_RESMAT_STATUS</t>
  </si>
  <si>
    <t>IF B_PROD IN (PRI105,TRE501,TRE502,TRE504,TRE505,TRE509) THEN E_RESMAT EQ NB YEARS BETWEEN R_SNA AND B_EDA</t>
  </si>
  <si>
    <t>E_REV_STATUS</t>
  </si>
  <si>
    <t>IF B_PROD IN (PRI105,TRE501,TRE502,TRE504,TRE505,TRE509) AND E_WOF &lt;&gt;0 THEN E_REV&lt;&gt;0</t>
  </si>
  <si>
    <t>F_CAT_STATUS</t>
  </si>
  <si>
    <t>IF F_TYP = NA THEN F_CAT = NA</t>
  </si>
  <si>
    <t>F_CAT_STATUS2</t>
  </si>
  <si>
    <t>IF F_RCL = 20 OR F_RCL = 30 THEN F_CAT = 02</t>
  </si>
  <si>
    <t>IF F_RCL = 20 OR F_RCL = 30 THEN F_CAT IN (01,02)</t>
  </si>
  <si>
    <t>F_CAT_STATUS3</t>
  </si>
  <si>
    <t>IF F_CAT = 02 THEN (F_RCL = 20 OR F_RCL = 30)</t>
  </si>
  <si>
    <t>F_CAT_STATUS4</t>
  </si>
  <si>
    <t>IF (F_RCL = 11 OR F_RCL = 12 OR F_RCL = 13) THEN F_CAT = 03</t>
  </si>
  <si>
    <t>F_CONTEXT_STATUS</t>
  </si>
  <si>
    <t>IF F_CAT = 01 OR 02 THEN F_CONTEXT =1</t>
  </si>
  <si>
    <t>F_CONTEXT_STATUS2</t>
  </si>
  <si>
    <t>IF F_CAT = 03 THEN F_CONTEXT =2</t>
  </si>
  <si>
    <t>IF F_CAT = 03 THEN F_CONTEXT IN (2, 4)</t>
  </si>
  <si>
    <t>F_CONTEXT_STATUS3</t>
  </si>
  <si>
    <t>IF F_CAT = 04 THEN F_CONTEXT =4</t>
  </si>
  <si>
    <t>F_CONTEXT_STATUS4</t>
  </si>
  <si>
    <t>IF F_CAT NOT IN (01,02,03,04) THEN F_CONTEXT = 5</t>
  </si>
  <si>
    <t>F_CR_EV_STATUS</t>
  </si>
  <si>
    <t>IF  F_INT = N THEN F_CR_EV =2</t>
  </si>
  <si>
    <t>F_DEPRO_STATUS</t>
  </si>
  <si>
    <t>IF F_DEPRO &lt;&gt; BLANK AND F_DEPRO &gt; R_SNA THEN F_INT = Y</t>
  </si>
  <si>
    <t>IF F_DEPRO &lt;&gt; BLANK THEN F_INT = Y</t>
  </si>
  <si>
    <t>F_DEPRO_STATUS2</t>
  </si>
  <si>
    <t>IF F_INT =Y AND F_PRO =Y THEN F_DEPRO &gt; R_SNA</t>
  </si>
  <si>
    <t>F_DEPRO_STATUS3</t>
  </si>
  <si>
    <t>IF F_INT = Y F_PRO=N THEN F_DPRO &gt; R_SNA</t>
  </si>
  <si>
    <t>F_DEP_STATUS</t>
  </si>
  <si>
    <t>IF S_NPE=Y AND F_CAT = 01 OR 02 THEN F_DEP &lt;&gt; BLANK</t>
  </si>
  <si>
    <t>IF S_NPE=Y AND F_INT=Y THEN F_DEP &lt;&gt; BLANK</t>
  </si>
  <si>
    <t>F_DEXP_STATUS</t>
  </si>
  <si>
    <t>IF F_CAT IN (01,02) AND S_NPE=N AND F_S12=N THEN F_DEXP = F_DEP +1 (YEAR)</t>
  </si>
  <si>
    <t>F_DPRO_STATUS</t>
  </si>
  <si>
    <t>IF F_PRO = Y  AND F_INT= Y THEN F_DPRO &lt;&gt; BLANK</t>
  </si>
  <si>
    <t>F_DREPRO_STATUS</t>
  </si>
  <si>
    <t>IF F_INT = Y AND F_CAT =03 AND B_DPD_MX &lt; 31 JOURS THEN F_DREPRO = F_ENT +2 YEARS (AND FOR ALL B_DPD_MX)</t>
  </si>
  <si>
    <t>F_DREPRO_STATUS2</t>
  </si>
  <si>
    <t>IF F_INT = Y AND F_CAT =01 OR 02 AND B_DPD_MX &lt; 31 JOURS THEN F_DREPRO=  F_ENT + 3 YEARS (AND FOR ALL B_DPD_MX)</t>
  </si>
  <si>
    <t>F_DTEPRO_STATUS</t>
  </si>
  <si>
    <t>IF F_INT = Y AND  F_PRO = Y THEN F_DTEPRO= F_DPRO + 2 YEARS</t>
  </si>
  <si>
    <t>IF F_INT = Y AND F_CAT =03 THEN F_DTEPRO= F_DPRO + 2 YEARS</t>
  </si>
  <si>
    <t>F_DTEPRO_STATUS2</t>
  </si>
  <si>
    <t>IF F_INT = Y AND F_CAT =01 OR 02 AND F_PRO &lt;&gt; Y THEN F_DTEPRO= F_LNP + 3 YEARS</t>
  </si>
  <si>
    <t>F_DTEPRO_STATUS3</t>
  </si>
  <si>
    <t>IF F_INT = Y AND F_CAT =01 OR 02 AND F_PRO=Y THEN F_DTEPRO= F_DPRO + 2 YEARS</t>
  </si>
  <si>
    <t>F_ENT_STATUS</t>
  </si>
  <si>
    <t>IF F_ENT &lt;&gt; BLANK AND F_LRD &lt;&gt; BLANK THEN F_ENT &lt;= F_LRD</t>
  </si>
  <si>
    <t>F_EXI_STATUS</t>
  </si>
  <si>
    <t>IF F_EXI &lt;&gt;BLANK THEN S_NPE=N AND (R_SNA - F_LNP) &gt; 2 YEARS AND F_S24 = N</t>
  </si>
  <si>
    <t>F_FFE_STATUS</t>
  </si>
  <si>
    <t>IF F_INT= Y THEN F_FFE &lt;&gt; BLANK</t>
  </si>
  <si>
    <t>F_INT_STATUS</t>
  </si>
  <si>
    <t>IF F_INT = Y THEN F_LRD &lt;&gt; BLANK</t>
  </si>
  <si>
    <t>F_INT_STATUS2</t>
  </si>
  <si>
    <t>IF F_INT = Y THEN F_FRD &lt;&gt; BLANK</t>
  </si>
  <si>
    <t>F_INT_STATUS3</t>
  </si>
  <si>
    <t>IF F_INT = Y THEN F_TYP &lt;&gt; BLANK</t>
  </si>
  <si>
    <t>F_INT_STATUS4</t>
  </si>
  <si>
    <t>IF F_INT = Y THEN F_ENT &lt;&gt; BLANK</t>
  </si>
  <si>
    <t>F_INT_STATUS5</t>
  </si>
  <si>
    <t>IF F_INT = Y THEN F_FFE &lt;&gt; BLANK</t>
  </si>
  <si>
    <t>F_INT_STATUS6</t>
  </si>
  <si>
    <t>IF F_EXI = BLANK AND (F_CAT = 01 OR F_CAT = 02) AND F_TYP &lt;&gt; NA AND S_RCL &lt;&gt; 40 THEN F_INT = Y</t>
  </si>
  <si>
    <t>F_INT_STATUS7</t>
  </si>
  <si>
    <t>IF F_EXI = BLANK AND F_CAT = 03 AND F_DPD &gt; 60 THEN F_INT = Y</t>
  </si>
  <si>
    <t>F_INT_STATUS8</t>
  </si>
  <si>
    <t>IF F_CAT = 04  AND F_TYP &lt;&gt; NA THEN F_INT =N</t>
  </si>
  <si>
    <t>F_LCR_STATUS</t>
  </si>
  <si>
    <t>IF F_CAT =04 THEN F_LCR&lt;&gt; BLANK</t>
  </si>
  <si>
    <t>F_LCR_STATUS2</t>
  </si>
  <si>
    <t>IF F_LCR &lt;&gt; BLANK AND F_LRR = BLANK THEN F_INT=N</t>
  </si>
  <si>
    <t>F_LNP_STATUS</t>
  </si>
  <si>
    <t>IF S_NPE = Y THEN F_LNP &lt;&gt; BLANK</t>
  </si>
  <si>
    <t>F_LRD_STATUS</t>
  </si>
  <si>
    <t>IF F_LRD &lt;&gt; BLANK THEN F_FRD &lt;&gt; BLANK</t>
  </si>
  <si>
    <t>F_LRD_STATUS2</t>
  </si>
  <si>
    <t>IF F_LRD &lt;&gt;  BLANK THEN F_LRD  &lt;= CLOSINGDATE</t>
  </si>
  <si>
    <t>F_LRR_STATUS</t>
  </si>
  <si>
    <t>IF F_LRR&lt;&gt;BLANK THEN F_INT=Y OR F_EXI&lt;&gt;BLANK</t>
  </si>
  <si>
    <t>F_NPE_STATUS</t>
  </si>
  <si>
    <t>IF (F_RCL = 20 OR F_RCL = 30) THEN F_NPE = Y</t>
  </si>
  <si>
    <t>F_PRO_STATUS</t>
  </si>
  <si>
    <t>(F_CAT = 03 AND F_INT = Y AND F_ENT &lt;&gt; BLANK AND (R_SNA - F_ENT) &lt; 2 YEARS THEN F_PRO = Y)</t>
  </si>
  <si>
    <t>F_PRO_STATUS2</t>
  </si>
  <si>
    <t>IF (F_CAT IN (01, 02) AND F_INT = Y AND F_ENT &lt;&gt; BLANK AND (R_SNA - F_ENT) &lt; 3 YEARS AND F_DEXP &lt; R_SNA THEN F_PRO = Y)</t>
  </si>
  <si>
    <t>F_S12_STATUS</t>
  </si>
  <si>
    <t>IF F_SI6 = Y THEN F_S24 = Y</t>
  </si>
  <si>
    <t>F_S12_STATUS2</t>
  </si>
  <si>
    <t>IF (R_SNA - F_LRD) &lt;= 360 AND  S_DPD &gt; 30 THEN F_S12 = Y</t>
  </si>
  <si>
    <t>F_S24_STATUS</t>
  </si>
  <si>
    <t>IF (R_SNA - F_LRD) &lt;= 720 AND  S_DPD &gt; 30 THEN F_S24 = Y</t>
  </si>
  <si>
    <t>F_SI3_STATUS</t>
  </si>
  <si>
    <t>IF F_SI3 = Y THEN F_SI6 = Y AND F_S12 = Y AND F_S24 = Y</t>
  </si>
  <si>
    <t>F_SI3_STATUS2</t>
  </si>
  <si>
    <t>IF  0 &lt;= (R_SNA - F_LRD) &lt;= 90 AND S_DPD &gt; 30 THEN F_SI3 = Y</t>
  </si>
  <si>
    <t>F_SI6_STATUS</t>
  </si>
  <si>
    <t>IF F_SI6 = Y THEN F_S12 = Y AND F_S24 = Y</t>
  </si>
  <si>
    <t>F_SI6_STATUS2</t>
  </si>
  <si>
    <t>IF 0 &lt;=(R_SNA - F_LRD) &lt;= 180 AND  S_DPD &gt; 30 THEN F_SI6 = Y</t>
  </si>
  <si>
    <t>F_TYP_STATUS</t>
  </si>
  <si>
    <t>IF F_TYP &lt;&gt; NA THEN F_LRD &lt;&gt; BLANK AND F_FRD &lt;&gt; BLANK</t>
  </si>
  <si>
    <t>F_TYP_STATUS2</t>
  </si>
  <si>
    <t>IF F_LRD &lt;&gt; BLANK THEN F_TYP &lt;&gt; NA</t>
  </si>
  <si>
    <t>F_TYP_STATUS3</t>
  </si>
  <si>
    <t>IF F_FRD &lt;&gt; BLANK THEN F_LRD &lt;&gt; BLANK</t>
  </si>
  <si>
    <t>ID3_CHECK_PD_STDA_AIRB</t>
  </si>
  <si>
    <t>IF IRBA THEN S_PDE=PD BASILEA IF B_APPROACH = STDA THEN S_PDE_TTC PD LOOKUP</t>
  </si>
  <si>
    <t>ID3_STATUS_S_PDE_TTC_01</t>
  </si>
  <si>
    <t>IF C_NOTIFRS9 = 99 THEN S_PDE_TTC = 1 ELSE KO</t>
  </si>
  <si>
    <t>ID3_STATUS_S_PDE_TTC_02</t>
  </si>
  <si>
    <t>IF B_APPROACH = IRB A AND C_NOTE=01 AND C_NOTIFRS9 = 01 THEN S_PDE=S_PDE_TTC = 1</t>
  </si>
  <si>
    <t>ID3_STATUS_S_PDE_TTC_03</t>
  </si>
  <si>
    <t>IF B_APPROACH = STDA AND C_NOTIFRS9 = 01 THEN S_PDE_TTC = 1</t>
  </si>
  <si>
    <t>ID5_STATUS_A_IFRS9_01</t>
  </si>
  <si>
    <t>A_IFRS9 = CAM</t>
  </si>
  <si>
    <t>ID8_STATUS_P_BUCK_01</t>
  </si>
  <si>
    <t>IF S_RCL IN (20,30,40) THEN P_BUCK = 3 OR B_OMP = 2</t>
  </si>
  <si>
    <t>I_LMGORI_STATUS</t>
  </si>
  <si>
    <t>IF B_CAP = 03 THEN I_LMGORI = R2</t>
  </si>
  <si>
    <t>I_LMGORI_STATUS2</t>
  </si>
  <si>
    <t>IF B_CAP = 04 THEN I_LMGORI =  R3</t>
  </si>
  <si>
    <t>I_LMGORI_STATUS3</t>
  </si>
  <si>
    <t>IF B_CAP IN (80,81) THEN I_LMGORI =  R4</t>
  </si>
  <si>
    <t>I_LMGORI_STATUS4</t>
  </si>
  <si>
    <t>IF B_CAP IN (02) THEN I_LMGORI BELONG TO (R2 R3 R4 R5 T1)</t>
  </si>
  <si>
    <t>I_LMG_STATUS</t>
  </si>
  <si>
    <t>IF B_CAP = 03 THEN I_LMG =  R2</t>
  </si>
  <si>
    <t>I_LMG_STATUS2</t>
  </si>
  <si>
    <t>IF B_CAP = 04 THEN I_LMG =  R3</t>
  </si>
  <si>
    <t>I_LMG_STATUS3</t>
  </si>
  <si>
    <t>IF B_CAP IN (80,81) THEN I_LMG =  R4</t>
  </si>
  <si>
    <t>I_LMG_STATUS4</t>
  </si>
  <si>
    <t>IF B_CAP = 02 THEN I_LMG BELONG TO (R2 R3 R4 R5 T1)</t>
  </si>
  <si>
    <t>I_SEGORI_STATUS</t>
  </si>
  <si>
    <t>IF C1.B_BPM =010 THEN I_SEGORI =01 ELSE  I_SEGORI &lt;&gt; 01</t>
  </si>
  <si>
    <t>I_SEG_STATUS</t>
  </si>
  <si>
    <t>IF C1.B_BPM =010 THEN I_SEG =01 ELSE  I_SEG &lt;&gt;01</t>
  </si>
  <si>
    <t>O_DEF_12_STATUS</t>
  </si>
  <si>
    <t>IF O_DEF_12 =Y THEN S_12M= Y</t>
  </si>
  <si>
    <t>O_DOU_12_STATUS</t>
  </si>
  <si>
    <t>IF O_DOU_12 =Y THEN S_12M= Y</t>
  </si>
  <si>
    <t>O_ID_RST_STATUS</t>
  </si>
  <si>
    <t>IF F_TYP=04 THEN O_ID_RST &lt;&gt; BLANK</t>
  </si>
  <si>
    <t>O_INSOLVCY_STATUS</t>
  </si>
  <si>
    <t>IF F_CAT =01 THEN O_INSOLVCY = Y</t>
  </si>
  <si>
    <t>O_MKT_VAL_STATUS</t>
  </si>
  <si>
    <t>O_MKT_VAL &lt;= SH_AMOT_PROP</t>
  </si>
  <si>
    <t>O_SIR12_STATUS</t>
  </si>
  <si>
    <t>IF O_SIR12 = Y THEN O_SIR24 = Y</t>
  </si>
  <si>
    <t>O_SIR12_STATUS2</t>
  </si>
  <si>
    <t>IF (R_SNA - R_DTE_INSTAL1) &lt;= 360                          AND (S-DPD OR B_DPD_M_1 OR B_DPD_M_2 OR B_DPD_M_3                            OR B_DPD_M_4 OR B_DPD_M_5 OR B_DPD_M_6 OR B_DPD_M_7                            OR B_DPD_M_8 OR B_DPD_M_9 OR B_DPD_M_10 OR B_DPD_M_11)                           &lt;&gt; 0 THEN O_SIR12 = Y</t>
  </si>
  <si>
    <t>O_SIR24_STATUS</t>
  </si>
  <si>
    <t>IF (R_SNA - R_DTE_INSTAL1) &lt;= 360 AND (S_DPD OR B_DPD_M_1 OR B_DPD_M_2 OR B_DPD_M_3                           OR B_DPD_M_4 OR B_DPD_M_5 OR B_DPD_M_6 OR B_DPD_M_7                           OR B_DPD_M_8 OR B_DPD_M_9 OR B_DPD_M_10 OR B_DPD_M_11                           OR B_DPD_M_12.....B_DPD_M_23) &lt;&gt; 0 THEN O_SIR24 = Y</t>
  </si>
  <si>
    <t>O_SIR3_STATUS</t>
  </si>
  <si>
    <t>IF O_SIR3 = Y THEN O_SIR6 = Y AND O_SIR12 = Y AND O_SIR24 = Y</t>
  </si>
  <si>
    <t>O_SIR3_STATUS2</t>
  </si>
  <si>
    <t>IF (R_SNA - R_DTE_INSTAL1) &lt;= 90 AND (S_DPD OR B_DPD_M_1 OR B_DPD_M_2) &lt;&gt; 0 THEN O_SIR3 = Y</t>
  </si>
  <si>
    <t>O_SIR6_STATUS</t>
  </si>
  <si>
    <t>IF O_SIR6 = Y THEN O_SIR12 = Y AND O_SIR24 = Y</t>
  </si>
  <si>
    <t>O_SIR6_STATUS2</t>
  </si>
  <si>
    <t>IF (R_SNA - R_DTE_INSTAL1) &lt;= 180 AND (S_DPD OR B_DPD_M_1 OR B_DPD_M_2 OR B_DPD_M_3 OR B_DPD_M_4 OR B_DPD_M_5 ) &lt;&gt; 0 THEN O_SIR6 = Y</t>
  </si>
  <si>
    <t>O_TCOLLECT_STATUS</t>
  </si>
  <si>
    <t>O_TCOLLECT = Y THEN S_RCL &lt;&gt; 00</t>
  </si>
  <si>
    <t>O_UNPAID_CS_STATUS</t>
  </si>
  <si>
    <t>IF E_APD&lt;&gt; 0 THEN O_UNPAID_CS &lt;&gt; 0</t>
  </si>
  <si>
    <t>P_BUCK_STATUS</t>
  </si>
  <si>
    <t>IF F_INT =Y THEN P_BUCK &lt;&gt; 1</t>
  </si>
  <si>
    <t>P_BUCK_STATUS2</t>
  </si>
  <si>
    <t>S_PDE = 1 THEN P_BUCK = 3</t>
  </si>
  <si>
    <t>P_IBN_STATUS</t>
  </si>
  <si>
    <t>IF P_IBN &gt; 0  THEN S_RCL IN (00,11,12,13)</t>
  </si>
  <si>
    <t>P_IBN_STATUS2</t>
  </si>
  <si>
    <t>IF S_RCL IN (00,11,12,13) THEN P_IBN &gt; 0</t>
  </si>
  <si>
    <t>P_SPE_STATUS</t>
  </si>
  <si>
    <t>IF P_SPE &gt; 0 THEN S_RCL = 20 OR S_RCL = 30</t>
  </si>
  <si>
    <t>P_SPE_STATUS2</t>
  </si>
  <si>
    <t>IF S_RCL = 20 OR S_RCL = 30 THEN P_SPE &gt; 0</t>
  </si>
  <si>
    <t>R_AMNT_RELEASG_STATUS</t>
  </si>
  <si>
    <t>R_AMNT_RELEASG &gt;=R_CRD</t>
  </si>
  <si>
    <t>R_AMT_OG_STATUS</t>
  </si>
  <si>
    <t>R_AMT_OG = R_AMNT_AMORTPER+ R_AMNT_INTERPER</t>
  </si>
  <si>
    <t>R_CRD_STATUS</t>
  </si>
  <si>
    <t>IF E_APD &lt;&gt; 0 THEN R_CRD &lt;&gt; B_CRD</t>
  </si>
  <si>
    <t>R_CRD_STATUS2</t>
  </si>
  <si>
    <t>IF E_APD=0 THEN R_CRD=B_CRD</t>
  </si>
  <si>
    <t>R_ED_PAL_STATUS</t>
  </si>
  <si>
    <t>R_ED_PAL &gt;= R_SNA</t>
  </si>
  <si>
    <t>R_ENDING_DATE_STATUS</t>
  </si>
  <si>
    <t>IF E_OFF &lt;&gt; 0 THEN R_ENDING_DATE &lt;&gt; BLANK</t>
  </si>
  <si>
    <t>R_ENT_STATUS</t>
  </si>
  <si>
    <t>IF R_ENT IS NOT UNIQUE THEN COUNT THE LINE</t>
  </si>
  <si>
    <t>R_REC_STATUS</t>
  </si>
  <si>
    <t>IF R_REC &lt;&gt; E1 THEN KO</t>
  </si>
  <si>
    <t>R_RELEAS_FUND_STATUS</t>
  </si>
  <si>
    <t>B_CDA &lt;= R_RELEAS_FUND</t>
  </si>
  <si>
    <t>R_SNA_STATUS</t>
  </si>
  <si>
    <t>IF R_SNA &lt;&gt; CLOSINGDATE THEN COUNT THE LINE</t>
  </si>
  <si>
    <t>SH_AMOT_PROP_STATUS</t>
  </si>
  <si>
    <t>IF (B_PROD=PRI105 OR O_BALOON=Y OR B_CAP =81) AND SH_AMOT_PROP &gt;= B_AOR</t>
  </si>
  <si>
    <t>SH_DEBT_RATIO_STATUS</t>
  </si>
  <si>
    <t>IF B_CAP =80 OR 81 THEN SH_DEBT_RATIO = B_AOR/SH_AMOT_PROP ELSE KO</t>
  </si>
  <si>
    <t>SH_LTV_STATUS</t>
  </si>
  <si>
    <t>IF B_CAP =80 OR 81 THEN SH_LTV= B_AOR/SH_AMOT_PROP ELSE KO</t>
  </si>
  <si>
    <t>SH_RAT_PERSINVST_STATUS</t>
  </si>
  <si>
    <t>IF B_CAP =80 OR 81 THEN SH_RAT_PERSINVST= O_DWN_PAYMT/SH_AMOT_PROP ELSE KO</t>
  </si>
  <si>
    <t>SH_REVA_LTV_STATUS</t>
  </si>
  <si>
    <t>IF B_CAP =80 OR 81 THEN SH_REVA= B_CRD/SH_AMOT_PROP ELSE KO</t>
  </si>
  <si>
    <t>SH_USEREAL_EST_STATUS</t>
  </si>
  <si>
    <t>IF B_CAP = 80 THEN SH_USEREAL_EST =2</t>
  </si>
  <si>
    <t>SH_USEREAL_EST_STATUS2</t>
  </si>
  <si>
    <t>IF B_CAP NE 81 THEN SH_USEREAL_EST =0</t>
  </si>
  <si>
    <t>S_12M_STATUS</t>
  </si>
  <si>
    <t>IF S_NPE= Y THEN S_12M= Y</t>
  </si>
  <si>
    <t>S_12M_STATUS2</t>
  </si>
  <si>
    <t>IF S_12M=Y THEN R_SNA - 12 MONTHS &lt;= D_EXITNPE &lt;= R_SNA</t>
  </si>
  <si>
    <t>S_DED_STATUS</t>
  </si>
  <si>
    <t>IF S_DED &lt;&gt; BLANK THEN  S_DED &lt;= CLOSINGDATE</t>
  </si>
  <si>
    <t>S_DED_STATUS2</t>
  </si>
  <si>
    <t>IF S_DEF = N AND (S_RCL = 00 OR S_RCL = 11 OR S_RCL = 12 OR S_RCL = 13) THEN S_DED = BLANK</t>
  </si>
  <si>
    <t>S_DED_STATUS3</t>
  </si>
  <si>
    <t>IF S_DEF = Y  THEN S_DED &lt;&gt; BLANK</t>
  </si>
  <si>
    <t>S_DEFEXIT_STATUS</t>
  </si>
  <si>
    <t>IF S_DEFEXIT &lt;&gt;  BLANK AND S_DEFEXIT &gt; R_SNA THEN S_DEF= N</t>
  </si>
  <si>
    <t>IF S_DEFEXIT &lt;&gt;  BLANK THEN S_DEF= N</t>
  </si>
  <si>
    <t>S_DEF_STATUS</t>
  </si>
  <si>
    <t>IF S_PDE &lt;&gt; 999999999999999 THEN IF S_DEF = Y THEN S_PDE = 1</t>
  </si>
  <si>
    <t>S_DEF_STATUS2</t>
  </si>
  <si>
    <t>IF S_PDE = 1 THEN S_DEF = Y</t>
  </si>
  <si>
    <t>S_DPD_STATUS</t>
  </si>
  <si>
    <t>IF F_INT = Y AND F_CAT = 03 AND IF S_DPD &gt;=  1 AND  S_DPD &lt;= 30 THEN S_RCL = 11</t>
  </si>
  <si>
    <t>IF S_DEFEXIT &lt;&gt;  BLANK AND S_RCL NE 40 THEN S_DEF= N</t>
  </si>
  <si>
    <t>S_DPD_STATUS2</t>
  </si>
  <si>
    <t>IF F_INT =N AND F_NPE = N AND IF S_DPD &gt;=  1 AND  S_DPD &lt;= 30 THEN S_RCL = 11</t>
  </si>
  <si>
    <t>S_DPD_STATUS3</t>
  </si>
  <si>
    <t>IF F_INT =Y AND F_CAT = 3 AND IF S_DPD &gt;=  31 AND  S_DPD &lt;= 60 THEN S_RCL = 12</t>
  </si>
  <si>
    <t>S_DPD_STATUS4</t>
  </si>
  <si>
    <t>IF F_INT =N AND F_NPE = N AND IF S_DPD &gt;=  31 AND  S_DPD &lt;= 60 THEN S_RCL = 12</t>
  </si>
  <si>
    <t>S_DPD_STATUS5</t>
  </si>
  <si>
    <t>IF F_INT =Y AND F_CAT = 03 AND IF S_DPD &gt;=  61 AND  S_DPD &lt;= 90 THEN S_RCL = 13</t>
  </si>
  <si>
    <t>S_DPD_STATUS6</t>
  </si>
  <si>
    <t>IF F_INT =N AND F_NPE = N AND IF S_DPD &gt;=  61 AND  S_DPD &lt;= 90 THEN S_RCL = 13</t>
  </si>
  <si>
    <t>S_DPD_STATUS7</t>
  </si>
  <si>
    <t>IF S_DPD &gt; 90 THEN S_RCL = 20 OR S_RCL = 30 OR S_RCL = 40</t>
  </si>
  <si>
    <t>S_DRCL_STATUS</t>
  </si>
  <si>
    <t>S_DRCL &lt;&gt; BLANK</t>
  </si>
  <si>
    <t>S_LGD_ADJ_STATUS</t>
  </si>
  <si>
    <t>IF B_APPROACH =IRB A THEN S_LGD_ADJ &lt; S_LGD</t>
  </si>
  <si>
    <t>S_NPE_STATUS</t>
  </si>
  <si>
    <t>IF S_DPD &lt;&gt; 9999 THEN IF S_NPE = N THEN S_DPD &lt;= 90</t>
  </si>
  <si>
    <t>S_NPE_STATUS10</t>
  </si>
  <si>
    <t>IF F_INT = Y AND (F_CAT = 01 OR F_CAT = 02)  AND F_PRO &lt;&gt; Y THEN S_NPE = Y</t>
  </si>
  <si>
    <t>S_NPE_STATUS11</t>
  </si>
  <si>
    <t>IF F_INT = Y AND (F_CAT = 01 OR F_CAT = 02) AND S_DPD &lt;= 30 AND F_PRO=Y AND S_DEF = N AND S_RCL &lt;&gt; 20 THEN S_NPE = N</t>
  </si>
  <si>
    <t>S_NPE_STATUS12</t>
  </si>
  <si>
    <t>IF S_NPE = Y THEN D_NPE &lt;&gt; BLANK AND D_EXITNPE = BLANK</t>
  </si>
  <si>
    <t>S_NPE_STATUS2</t>
  </si>
  <si>
    <t>IF S_NPE = N THEN S_DED = BLANK</t>
  </si>
  <si>
    <t>IF S_NPE = N THEN S_DED = BLANK OR INTNX('MONTH', S_DEFEXIT, 0, 'E') = R_SNA</t>
  </si>
  <si>
    <t>S_NPE_STATUS3</t>
  </si>
  <si>
    <t>IF S_NPE = Y THEN  P_IBN &lt;&gt; 0  OR P_SPE &lt;&gt; 0</t>
  </si>
  <si>
    <t>S_NPE_STATUS4</t>
  </si>
  <si>
    <t>IF S_DEF = Y THEN S_NPE = Y</t>
  </si>
  <si>
    <t>S_NPE_STATUS5</t>
  </si>
  <si>
    <t>IF S_DED &lt;&gt; BLANK AND S_DEFEXIT = BLANK THEN S_NPE =Y</t>
  </si>
  <si>
    <t>IF S_DED &lt;&gt; BLANK THEN S_NPE = Y</t>
  </si>
  <si>
    <t>S_NPE_STATUS6</t>
  </si>
  <si>
    <t>IF (S_RCL = 20 OR S_RCL = 30 OR S_RCL = 40) THEN S_NPE = Y</t>
  </si>
  <si>
    <t>S_NPE_STATUS7</t>
  </si>
  <si>
    <t>IF F_INT = Y AND F_S24 = Y THEN S_NPE = Y</t>
  </si>
  <si>
    <t>S_NPE_STATUS8</t>
  </si>
  <si>
    <t>IF F_INT = Y AND S_DPD &gt; 30 THEN S_NPE = Y</t>
  </si>
  <si>
    <t>S_NPE_STATUS9</t>
  </si>
  <si>
    <t>IF F_INT = Y AND (F_CAT = 01 OR F_CAT = 02) AND IF (R_SNA - F_ENT)  &lt;  1 THEN S_NPE = Y</t>
  </si>
  <si>
    <t>S_RCL_STATUS</t>
  </si>
  <si>
    <t>IF S_RCL = 00 THEN S_DPD = 0</t>
  </si>
  <si>
    <t>S_RCL_STATUS2</t>
  </si>
  <si>
    <t>IF S_RCL = 11 THEN S_DPD &gt; =1 AND S_DPD &lt; =30</t>
  </si>
  <si>
    <t>S_RCL_STATUS3</t>
  </si>
  <si>
    <t>IF S_RCL = 12 THEN S_DPD &gt;= 31 AND S_DPD &lt;= 60</t>
  </si>
  <si>
    <t>S_RCL_STATUS4</t>
  </si>
  <si>
    <t>IF S_RCL = 13 THEN S_DPD &gt;= 61 AND S_DPD &lt;= 90</t>
  </si>
  <si>
    <t>S_RCL_STATUS5</t>
  </si>
  <si>
    <t>IF S_RCL = 40 THEN E_WOF &lt;&gt; 0</t>
  </si>
  <si>
    <t>S_RCL_STATUS6</t>
  </si>
  <si>
    <t>IF B_RESMAT=0 THEN S_RCL IN (30, 40)</t>
  </si>
  <si>
    <t>eb_ifrs9.ifrs9_rrf_control_controp_&amp;annos.&amp;meses.</t>
  </si>
  <si>
    <t>IF R_REC &lt;&gt; C1 THEN KO</t>
  </si>
  <si>
    <t>R_IDTCLT_STATUS</t>
  </si>
  <si>
    <t>MUST BE UNIQUE</t>
  </si>
  <si>
    <t>R_IDD_STATUS</t>
  </si>
  <si>
    <t>EC_CL_CAC_STATUS</t>
  </si>
  <si>
    <t>IF B_BPM =010 THEN EC_CL_CAC BELONG TO PCG22 PCG23 PCG21</t>
  </si>
  <si>
    <t>EC_CL_CAC_STATUS2</t>
  </si>
  <si>
    <t>IF B_BPM =021 THEN EC_CL_CAC = PCG10</t>
  </si>
  <si>
    <t>B_BPM_STATUS</t>
  </si>
  <si>
    <t>IF E1.B_CAP = 04 THEN B_BPM =021 ELSE B_BPM =010</t>
  </si>
  <si>
    <t>EC_CL_SEC_STATUS</t>
  </si>
  <si>
    <t>IF B_BPM=010 THEN EC_CL_SEC = PP9902</t>
  </si>
  <si>
    <t>RIS_CONTROLLO</t>
  </si>
  <si>
    <t>NUM_KO</t>
  </si>
  <si>
    <t>dmaxices.ptf_maxicess_&amp;anno_oss.&amp;mese_oss_x.</t>
  </si>
  <si>
    <t>SEGMENTO_CHECK</t>
  </si>
  <si>
    <t>STRIP(SEGMENTO) NE '' AND (IM_INCAS EQ . AND  DT_ULT_PAGAMENTO NE .)</t>
  </si>
  <si>
    <t>OK</t>
  </si>
  <si>
    <t>COOBBLIGATO_CHECK</t>
  </si>
  <si>
    <t>STRIP(IN_FIRMA_DOPPIA) = 'S' AND FL_COOBBLIGATO = 'N'</t>
  </si>
  <si>
    <t>FIRMA_CHECK</t>
  </si>
  <si>
    <t>STRIP(IN_FIRMA_DOPPIA) = ''</t>
  </si>
  <si>
    <t>DS_ORIGINE_CHECK</t>
  </si>
  <si>
    <t>STRIP(DS_ORIGINE) EQ ''</t>
  </si>
  <si>
    <t>CTX_CHECK</t>
  </si>
  <si>
    <t>(TRIMESTRE_CTX NE . AND DT_ULT_INGRESSO_CTX EQ .) OR                         (TRIMESTRE_CTX EQ . AND DT_ULT_INGRESSO_CTX NE .)</t>
  </si>
  <si>
    <t>FASCIA_CHECK</t>
  </si>
  <si>
    <t>TP_FASCIA_IMPIEGO EQ .</t>
  </si>
  <si>
    <t>DS_REGIONE_RESIDENZA</t>
  </si>
  <si>
    <t>STRIP(DS_REGIONE_RESIDENZA_CLI) EQ '' AND STRIP(SEGMENTO) NE ''</t>
  </si>
  <si>
    <t>((STRIP(DS_REGIONE_RESIDENZA_CLI) NE '' AND STRIP(DS_REGIONE_EUROSTAT) EQ '') OR                         (STRIP(DS_REGIONE_RESIDENZA_CLI) EQ '' AND STRIP(DS_REGIONE_EUROSTAT) NE '')) AND                          STRIP(SEGMENTO) NE ''</t>
  </si>
  <si>
    <t>DT_DBT_CHECK</t>
  </si>
  <si>
    <t>DT_DBT EQ . AND IM_SALDO_TOT_DBT NE .</t>
  </si>
  <si>
    <t>DT_DBT2_CHECK</t>
  </si>
  <si>
    <t>DT_DBT NE . AND CD_STATO EQ '40'</t>
  </si>
  <si>
    <t>SALDO_CHECK</t>
  </si>
  <si>
    <t>TEST SALDO E SPACCATURA SALDO</t>
  </si>
  <si>
    <t>SALDO_DBT_CHECK</t>
  </si>
  <si>
    <t>TEST SALDO E SPACCATURA SALDO POST DBT</t>
  </si>
  <si>
    <t>IM_SALDO_TOT_DBT_CHE</t>
  </si>
  <si>
    <t>TEST IM_SALDO_TOT_DBT</t>
  </si>
  <si>
    <t>TRASCINATA_CHECK</t>
  </si>
  <si>
    <t>FLAG_TRASCINATA = 'S' AND FLAG_PERIMETRO = 'S' AND STRIP(FLAG_ESCLUSIONE)=''</t>
  </si>
  <si>
    <t>TRASCINATA2_CHECK</t>
  </si>
  <si>
    <t>FLAG_PERIMETRO_TRASC='S' AND FLAG_TRASCINATA = 'N'</t>
  </si>
  <si>
    <t>TRASCINATA3_CHECK</t>
  </si>
  <si>
    <t>FLAG_PERIMETRO_TRASC='S' AND NM_GG_SCADT &lt; 120</t>
  </si>
  <si>
    <t>TRASCINANTE_CHECK</t>
  </si>
  <si>
    <t>STRIP(FLAG_TRASCINATA) EQ 'S' AND SEGMENTO NE '' AND CD_CONTRATTO_TRASCINANTE EQ .</t>
  </si>
  <si>
    <t>SANE_CHECK</t>
  </si>
  <si>
    <t>FLAG_SALDO_AVERE EQ 'S'  AND ROUND(IM_IMPIEGHI_SANE,0.01) &gt;= 0</t>
  </si>
  <si>
    <t>CAMBIALI_CHECK</t>
  </si>
  <si>
    <t>SEGMENTO NE '' AND FLAG_ESCLUSIONE_CAMPIONE NE 'S'                         AND FL_CAMBIALI EQ 'S' AND FL_CAMBIALI_CLIENTE NE 'S'</t>
  </si>
  <si>
    <t>CAMBIALI2_CHECK</t>
  </si>
  <si>
    <t>CONTROLLO CAMBIALI</t>
  </si>
  <si>
    <t>CODICE_FISCALE_CHECK</t>
  </si>
  <si>
    <t>CONTROLLO CODICE FISCALE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</si>
</sst>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indexed="8"/>
      <name val="Calibri"/>
      <family val="2"/>
      <scheme val="minor"/>
    </font>
    <font>
      <sz val="11"/>
      <color theme="1"/>
      <name val="Calibri"/>
      <family val="2"/>
      <scheme val="minor"/>
    </font>
    <font>
      <sz val="11"/>
      <color theme="1"/>
      <name val="Calibri"/>
      <family val="2"/>
      <scheme val="minor"/>
    </font>
    <font>
      <b/>
      <sz val="11"/>
      <name val="Calibri"/>
    </font>
    <font>
      <b/>
      <sz val="11"/>
      <name val="Calibri"/>
      <family val="2"/>
    </font>
    <font>
      <sz val="11"/>
      <color rgb="FF000000"/>
      <name val="Calibri"/>
      <family val="2"/>
      <scheme val="minor"/>
    </font>
  </fonts>
  <fills count="8">
    <fill>
      <patternFill patternType="none"/>
    </fill>
    <fill>
      <patternFill patternType="gray125"/>
    </fill>
    <fill>
      <patternFill patternType="solid">
        <fgColor theme="4" tint="0.59999389629810485"/>
        <bgColor indexed="64"/>
      </patternFill>
    </fill>
    <fill>
      <patternFill patternType="solid">
        <fgColor theme="3" tint="0.749992370372631"/>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3">
    <xf numFmtId="0" fontId="0" fillId="0" borderId="0"/>
    <xf numFmtId="0" fontId="2" fillId="0" borderId="0"/>
    <xf numFmtId="0" fontId="1" fillId="0" borderId="0"/>
  </cellStyleXfs>
  <cellXfs count="20">
    <xf numFmtId="0" fontId="0" fillId="0" borderId="0" xfId="0"/>
    <xf numFmtId="0" fontId="3" fillId="2" borderId="0" xfId="0" applyFont="1" applyFill="1" applyAlignment="1">
      <alignment horizontal="center"/>
    </xf>
    <xf numFmtId="0" fontId="3" fillId="3" borderId="0" xfId="0" applyFont="1" applyFill="1" applyAlignment="1">
      <alignment horizontal="center"/>
    </xf>
    <xf numFmtId="0" fontId="0" fillId="0" borderId="0" xfId="0" applyAlignment="1">
      <alignment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0" fillId="0" borderId="0" xfId="0" applyAlignment="1">
      <alignment vertical="center"/>
    </xf>
    <xf numFmtId="0" fontId="0" fillId="0" borderId="0" xfId="0" applyAlignment="1">
      <alignment vertical="center" wrapText="1"/>
    </xf>
    <xf numFmtId="0" fontId="0" fillId="7" borderId="0" xfId="0" applyFill="1" applyAlignment="1">
      <alignment vertical="center"/>
    </xf>
    <xf numFmtId="49" fontId="0" fillId="0" borderId="0" xfId="0" applyNumberFormat="1" applyAlignment="1">
      <alignment vertical="center"/>
    </xf>
    <xf numFmtId="0" fontId="0" fillId="0" borderId="0" xfId="0" applyAlignment="1">
      <alignment horizontal="center" vertical="center"/>
    </xf>
    <xf numFmtId="0" fontId="0" fillId="7" borderId="0" xfId="0" applyFill="1"/>
    <xf numFmtId="0" fontId="2" fillId="0" borderId="0" xfId="1"/>
    <xf numFmtId="0" fontId="2" fillId="0" borderId="2" xfId="1" applyBorder="1"/>
    <xf numFmtId="0" fontId="1" fillId="0" borderId="0" xfId="2"/>
    <xf numFmtId="0" fontId="5" fillId="0" borderId="0" xfId="2" applyFont="1"/>
    <xf numFmtId="0" fontId="1" fillId="2" borderId="0" xfId="2" applyFill="1"/>
  </cellXfs>
  <cellStyles count="3">
    <cellStyle name="Normale" xfId="0" builtinId="0"/>
    <cellStyle name="Normale 2" xfId="1" xr:uid="{12F1B966-D0DC-4CC1-B44E-E89496623BFD}"/>
    <cellStyle name="Normale 3" xfId="2" xr:uid="{21F67ADC-CFF9-47F5-85B2-8ADD95DF48C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AGOSX-GARAANALISI2/Shared%20Documents/AGOSX-ANALISI/Progetto_Analisi/_Documentazione/Data%20Quality/DataQuality_analisi_v1.xlsx" TargetMode="External"/><Relationship Id="rId1" Type="http://schemas.openxmlformats.org/officeDocument/2006/relationships/externalLinkPath" Target="/sites/AGOSX-GARAANALISI2/Shared%20Documents/AGOSX-ANALISI/Progetto_Analisi/_Documentazione/Data%20Quality/DataQuality_analisi_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KPI"/>
      <sheetName val="DQ RULES"/>
      <sheetName val="DIV IFRS9"/>
      <sheetName val="DESC"/>
    </sheetNames>
    <sheetDataSet>
      <sheetData sheetId="0"/>
      <sheetData sheetId="1"/>
      <sheetData sheetId="2"/>
      <sheetData sheetId="3">
        <row r="1">
          <cell r="A1" t="str">
            <v>Description</v>
          </cell>
          <cell r="B1" t="str">
            <v>Description Formattato</v>
          </cell>
        </row>
        <row r="2">
          <cell r="A2" t="e">
            <v>#VALUE!</v>
          </cell>
          <cell r="B2" t="e">
            <v>#VALUE!</v>
          </cell>
        </row>
        <row r="3">
          <cell r="A3" t="e">
            <v>#VALUE!</v>
          </cell>
          <cell r="B3" t="e">
            <v>#VALUE!</v>
          </cell>
        </row>
        <row r="4">
          <cell r="A4" t="e">
            <v>#VALUE!</v>
          </cell>
          <cell r="B4" t="e">
            <v>#VALUE!</v>
          </cell>
        </row>
        <row r="5">
          <cell r="A5" t="e">
            <v>#VALUE!</v>
          </cell>
          <cell r="B5" t="e">
            <v>#VALUE!</v>
          </cell>
        </row>
        <row r="6">
          <cell r="A6" t="str">
            <v>&lt;p&gt;&lt;strong&gt;COUNTRY RISK&lt;/strong&gt;&lt;/p&gt;
&lt;p&gt;It : La metrica monitora l’esposizione totale nei confronti delle banche&lt;/p&gt;
&lt;p&gt;En : The metric monitors the total exposure to banks&lt;/p&gt;</v>
          </cell>
          <cell r="B6" t="str">
            <v xml:space="preserve">  COUNTRY RISK  
 It : La metrica monitora l’esposizione totale nei confronti delle banche 
 En : The metric monitors the total exposure to banks </v>
          </cell>
        </row>
        <row r="7">
          <cell r="A7" t="e">
            <v>#VALUE!</v>
          </cell>
          <cell r="B7" t="e">
            <v>#VALUE!</v>
          </cell>
        </row>
        <row r="8">
          <cell r="A8" t="e">
            <v>#VALUE!</v>
          </cell>
          <cell r="B8" t="e">
            <v>#VALUE!</v>
          </cell>
        </row>
        <row r="9">
          <cell r="A9" t="e">
            <v>#VALUE!</v>
          </cell>
          <cell r="B9" t="e">
            <v>#VALUE!</v>
          </cell>
        </row>
        <row r="10">
          <cell r="A10" t="e">
            <v>#VALUE!</v>
          </cell>
          <cell r="B10" t="e">
            <v>#VALUE!</v>
          </cell>
        </row>
        <row r="11">
          <cell r="A11" t="str">
            <v>It: Codice del paese di registrazione della controparte esterna&lt;br/&gt;En: Code of country of registration of external counterparty</v>
          </cell>
          <cell r="B11" t="str">
            <v>It: Codice del paese di registrazione della controparte esterna&lt;br/&gt;En: Code of country of registration of external counterparty</v>
          </cell>
        </row>
        <row r="12">
          <cell r="A12" t="str">
            <v>It: Codice del Paese in cui è stabilito il terzo. Corrisponde al paese di residenza fiscale&lt;br/&gt;En: Code of country in which the third party is established. Corresponds to country of tax residence</v>
          </cell>
          <cell r="B12" t="str">
            <v>It: Codice del Paese in cui è stabilito il terzo. Corrisponde al paese di residenza fiscale&lt;br/&gt;En: Code of country in which the third party is established. Corresponds to country of tax residence</v>
          </cell>
        </row>
        <row r="13">
          <cell r="A13" t="e">
            <v>#VALUE!</v>
          </cell>
          <cell r="B13" t="e">
            <v>#VALUE!</v>
          </cell>
        </row>
        <row r="14">
          <cell r="A14" t="e">
            <v>#VALUE!</v>
          </cell>
          <cell r="B14" t="e">
            <v>#VALUE!</v>
          </cell>
        </row>
        <row r="15">
          <cell r="A15" t="e">
            <v>#VALUE!</v>
          </cell>
          <cell r="B15" t="e">
            <v>#VALUE!</v>
          </cell>
        </row>
        <row r="16">
          <cell r="A16" t="e">
            <v>#VALUE!</v>
          </cell>
          <cell r="B16" t="e">
            <v>#VALUE!</v>
          </cell>
        </row>
        <row r="17">
          <cell r="A17" t="str">
            <v>It: Tipologia di metodologia di rating utilizzata per ottenere il rating attribuito&lt;br/&gt;En: Type of methodology of the rating used to obtain the rating given</v>
          </cell>
          <cell r="B17" t="str">
            <v>It: Tipologia di metodologia di rating utilizzata per ottenere il rating attribuito&lt;br/&gt;En: Type of methodology of the rating used to obtain the rating given</v>
          </cell>
        </row>
        <row r="18">
          <cell r="A18" t="e">
            <v>#VALUE!</v>
          </cell>
          <cell r="B18" t="e">
            <v>#VALUE!</v>
          </cell>
        </row>
        <row r="19">
          <cell r="A19" t="e">
            <v>#VALUE!</v>
          </cell>
          <cell r="B19" t="e">
            <v>#VALUE!</v>
          </cell>
        </row>
        <row r="20">
          <cell r="A20" t="e">
            <v>#VALUE!</v>
          </cell>
          <cell r="B20" t="e">
            <v>#VALUE!</v>
          </cell>
        </row>
        <row r="21">
          <cell r="A21" t="e">
            <v>#VALUE!</v>
          </cell>
          <cell r="B21" t="e">
            <v>#VALUE!</v>
          </cell>
        </row>
        <row r="22">
          <cell r="A22" t="e">
            <v>#VALUE!</v>
          </cell>
          <cell r="B22" t="str">
            <v xml:space="preserve"> It: Codice identificativo di riferimento della nazione   En: Code from the national ID reference  </v>
          </cell>
        </row>
        <row r="23">
          <cell r="A23" t="str">
            <v>Rappresenta l’insieme delle componenti patrimoniali di qualità più pregiata</v>
          </cell>
          <cell r="B23" t="str">
            <v>Rappresenta l’insieme delle componenti patrimoniali di qualità più pregiata</v>
          </cell>
        </row>
        <row r="24">
          <cell r="A24" t="str">
            <v>Rappresentato dai prestiti subordinati</v>
          </cell>
          <cell r="B24" t="str">
            <v>Rappresentato dai prestiti subordinati</v>
          </cell>
        </row>
        <row r="25">
          <cell r="A25" t="e">
            <v>#VALUE!</v>
          </cell>
          <cell r="B25" t="e">
            <v>#VALUE!</v>
          </cell>
        </row>
        <row r="26">
          <cell r="A26" t="e">
            <v>#VALUE!</v>
          </cell>
          <cell r="B26" t="e">
            <v>#VALUE!</v>
          </cell>
        </row>
        <row r="27">
          <cell r="A27" t="e">
            <v>#VALUE!</v>
          </cell>
          <cell r="B27" t="e">
            <v>#VALUE!</v>
          </cell>
        </row>
        <row r="28">
          <cell r="A28" t="e">
            <v>#VALUE!</v>
          </cell>
          <cell r="B28" t="e">
            <v>#VALUE!</v>
          </cell>
        </row>
        <row r="29">
          <cell r="A29" t="e">
            <v>#VALUE!</v>
          </cell>
          <cell r="B29" t="e">
            <v>#VALUE!</v>
          </cell>
        </row>
        <row r="30">
          <cell r="A30" t="e">
            <v>#VALUE!</v>
          </cell>
          <cell r="B30" t="e">
            <v>#VALUE!</v>
          </cell>
        </row>
        <row r="31">
          <cell r="A31" t="e">
            <v>#VALUE!</v>
          </cell>
          <cell r="B31" t="e">
            <v>#VALUE!</v>
          </cell>
        </row>
        <row r="32">
          <cell r="A32" t="e">
            <v>#VALUE!</v>
          </cell>
          <cell r="B32" t="e">
            <v>#VALUE!</v>
          </cell>
        </row>
        <row r="33">
          <cell r="A33" t="e">
            <v>#VALUE!</v>
          </cell>
          <cell r="B33" t="e">
            <v>#VALUE!</v>
          </cell>
        </row>
        <row r="34">
          <cell r="A34" t="e">
            <v>#VALUE!</v>
          </cell>
          <cell r="B34" t="e">
            <v>#VALUE!</v>
          </cell>
        </row>
        <row r="35">
          <cell r="A35" t="str">
            <v>&lt;p class="editor-paragraph" dir="ltr"&gt;&lt;span style="white-space: pre-wrap;"&gt;It: Costo del Rischio Contabile&lt;/span&gt;&lt;/p&gt;&lt;p class="editor-paragraph" dir="ltr"&gt;&lt;span style="white-space: pre-wrap;"&gt;En: Cost of Accounting Risk&lt;/span&gt;&lt;/p&gt;</v>
          </cell>
          <cell r="B35" t="str">
            <v xml:space="preserve"> It: Costo del Rischio Contabile   En: Cost of Accounting Risk  </v>
          </cell>
        </row>
        <row r="36">
          <cell r="A36" t="e">
            <v>#VALUE!</v>
          </cell>
          <cell r="B36" t="e">
            <v>#VALUE!</v>
          </cell>
        </row>
        <row r="37">
          <cell r="A37" t="e">
            <v>#VALUE!</v>
          </cell>
          <cell r="B37" t="e">
            <v>#VALUE!</v>
          </cell>
        </row>
        <row r="38">
          <cell r="A38" t="e">
            <v>#VALUE!</v>
          </cell>
          <cell r="B38" t="e">
            <v>#VALUE!</v>
          </cell>
        </row>
        <row r="39">
          <cell r="A39" t="str">
            <v>&lt;p&gt;&lt;strong&gt;PROFITABILITY&lt;/strong&gt;&lt;/p&gt;
&lt;p&gt;It : La metrica monitora i livelli di efficienza della struttura operativa&lt;/p&gt;
&lt;p&gt;&lt;br/&gt;En : The metric monitors the efficiency levels of the operating structure&lt;/p&gt;</v>
          </cell>
          <cell r="B39" t="str">
            <v xml:space="preserve">  PROFITABILITY  
 It : La metrica monitora i livelli di efficienza della struttura operativa 
 &lt;br/&gt;En : The metric monitors the efficiency levels of the operating structure </v>
          </cell>
        </row>
        <row r="40">
          <cell r="A40" t="e">
            <v>#VALUE!</v>
          </cell>
          <cell r="B40" t="e">
            <v>#VALUE!</v>
          </cell>
        </row>
        <row r="41">
          <cell r="A41" t="e">
            <v>#VALUE!</v>
          </cell>
          <cell r="B41" t="e">
            <v>#VALUE!</v>
          </cell>
        </row>
        <row r="42">
          <cell r="A42" t="str">
            <v>&lt;p class="editor-paragraph" dir="ltr"&gt;&lt;span style="white-space: pre-wrap;"&gt;It: Fuori Perimetro&lt;/span&gt;&lt;/p&gt;&lt;p class="editor-paragraph" dir="ltr"&gt;&lt;span style="white-space: pre-wrap;"&gt;En: Out of Scope&lt;/span&gt;&lt;/p&gt;</v>
          </cell>
          <cell r="B42" t="str">
            <v xml:space="preserve"> It: Fuori Perimetro   En: Out of Scope  </v>
          </cell>
        </row>
        <row r="43">
          <cell r="A43" t="e">
            <v>#VALUE!</v>
          </cell>
          <cell r="B43" t="e">
            <v>#VALUE!</v>
          </cell>
        </row>
        <row r="44">
          <cell r="A44" t="e">
            <v>#VALUE!</v>
          </cell>
          <cell r="B44" t="e">
            <v>#VALUE!</v>
          </cell>
        </row>
        <row r="45">
          <cell r="A45" t="str">
            <v>&lt;p class="editor-paragraph" dir="ltr"&gt;&lt;span style="white-space: pre-wrap;"&gt;It: Tipo di ammortamento&lt;/span&gt;&lt;/p&gt;&lt;p class="editor-paragraph" dir="ltr"&gt;&lt;span style="white-space: pre-wrap;"&gt;En: Amortizing type of the stage&lt;/span&gt;&lt;/p&gt;</v>
          </cell>
          <cell r="B45" t="str">
            <v xml:space="preserve"> It: Tipo di ammortamento   En: Amortizing type of the stage  </v>
          </cell>
        </row>
        <row r="46">
          <cell r="A46" t="e">
            <v>#VALUE!</v>
          </cell>
          <cell r="B46" t="str">
            <v xml:space="preserve"> It: Margine da aggiungere all'indice per ottenere il tasso di interesse   Espresso in %  &lt;p class="editor-paragraph" dir="ltr"&gt;&lt;br/&gt;  En: Margin to be added to the index to obtain the interest rate   Expressed as %  </v>
          </cell>
        </row>
        <row r="47">
          <cell r="A47" t="e">
            <v>#VALUE!</v>
          </cell>
          <cell r="B47" t="str">
            <v xml:space="preserve"> It: La periodicità di revisione di un prestito a tasso variabile è la frequenza di revisione del tasso del prestito   En: The periodicity of revision a variable rate loan is the frequency of revising the loan rate  </v>
          </cell>
        </row>
        <row r="48">
          <cell r="A48" t="e">
            <v>#VALUE!</v>
          </cell>
          <cell r="B48" t="str">
            <v xml:space="preserve"> It: Indica il tipo di tasso di interesse  &lt;p class="editor-paragraph" dir="ltr"&gt;&lt;no-hyperlink&gt;&lt;span style="white-space: pre-wrap;"&gt;En: Indicates the type of interest rate of the stage &lt;/no-hyperlink&gt; </v>
          </cell>
        </row>
        <row r="49">
          <cell r="A49" t="e">
            <v>#VALUE!</v>
          </cell>
          <cell r="B49" t="str">
            <v xml:space="preserve"> It: Tipo di ammortamento dell'operazione: da valorizzare costante "O"   En: Type of amortization of the operation: to be valued constant "O"  </v>
          </cell>
        </row>
        <row r="50">
          <cell r="A50" t="e">
            <v>#VALUE!</v>
          </cell>
          <cell r="B50" t="str">
            <v xml:space="preserve"> It: Data di fine del periodo di calcolo degli interessi   En: End date of the interest calculation period  </v>
          </cell>
        </row>
        <row r="51">
          <cell r="A51" t="e">
            <v>#VALUE!</v>
          </cell>
          <cell r="B51" t="e">
            <v>#VALUE!</v>
          </cell>
        </row>
        <row r="52">
          <cell r="A52" t="e">
            <v>#VALUE!</v>
          </cell>
          <cell r="B52" t="e">
            <v>#VALUE!</v>
          </cell>
        </row>
        <row r="53">
          <cell r="A53" t="e">
            <v>#VALUE!</v>
          </cell>
          <cell r="B53" t="e">
            <v>#VALUE!</v>
          </cell>
        </row>
        <row r="54">
          <cell r="A54" t="e">
            <v>#VALUE!</v>
          </cell>
          <cell r="B54" t="e">
            <v>#VALUE!</v>
          </cell>
        </row>
        <row r="55">
          <cell r="A55" t="e">
            <v>#VALUE!</v>
          </cell>
          <cell r="B55" t="e">
            <v>#VALUE!</v>
          </cell>
        </row>
        <row r="56">
          <cell r="A56" t="e">
            <v>#VALUE!</v>
          </cell>
          <cell r="B56" t="e">
            <v>#VALUE!</v>
          </cell>
        </row>
        <row r="57">
          <cell r="A57" t="str">
            <v>It: Importo autorizzato dal cliente per la linea della struttura&lt;br/&gt;En: Client authorised amount for the facility line</v>
          </cell>
          <cell r="B57" t="str">
            <v>It: Importo autorizzato dal cliente per la linea della struttura&lt;br/&gt;En: Client authorised amount for the facility line</v>
          </cell>
        </row>
        <row r="58">
          <cell r="A58" t="e">
            <v>#VALUE!</v>
          </cell>
          <cell r="B58" t="e">
            <v>#VALUE!</v>
          </cell>
        </row>
        <row r="59">
          <cell r="A59" t="e">
            <v>#VALUE!</v>
          </cell>
          <cell r="B59" t="e">
            <v>#VALUE!</v>
          </cell>
        </row>
        <row r="60">
          <cell r="A60" t="e">
            <v>#VALUE!</v>
          </cell>
          <cell r="B60" t="e">
            <v>#VALUE!</v>
          </cell>
        </row>
        <row r="61">
          <cell r="A61" t="e">
            <v>#VALUE!</v>
          </cell>
          <cell r="B61" t="str">
            <v xml:space="preserve"> It: Indica il limite massimo del tasso di interesse, se esistente.   Il tasso deve essere espresso in percentuale.   En: Indicates the interest rate cap if exists   The rate must be expressed as a percentage.  </v>
          </cell>
        </row>
        <row r="62">
          <cell r="A62" t="e">
            <v>#VALUE!</v>
          </cell>
          <cell r="B62" t="str">
            <v xml:space="preserve"> It: Codice prodotto conforme al sistema di riferimento comune PALMA   En: Product code in accordance with PALMA common reference frame   </v>
          </cell>
        </row>
        <row r="63">
          <cell r="A63" t="e">
            <v>#VALUE!</v>
          </cell>
          <cell r="B63" t="e">
            <v>#VALUE!</v>
          </cell>
        </row>
        <row r="64">
          <cell r="A64" t="e">
            <v>#VALUE!</v>
          </cell>
          <cell r="B64" t="e">
            <v>#VALUE!</v>
          </cell>
        </row>
        <row r="65">
          <cell r="A65" t="e">
            <v>#VALUE!</v>
          </cell>
          <cell r="B65" t="str">
            <v xml:space="preserve"> It: Codifica del prodotto secondo l'elenco dei tipi di prodotto PALMA   En: Product codification according to PALMA product type list  </v>
          </cell>
        </row>
        <row r="66">
          <cell r="A66" t="e">
            <v>#VALUE!</v>
          </cell>
          <cell r="B66" t="str">
            <v xml:space="preserve"> It: Su fin tasso variabile : Data della prossima revisione del tasso rispetto alla data di osservazione   En: On variable rate: Date of the next rate review with respect to the observation date  </v>
          </cell>
        </row>
        <row r="67">
          <cell r="A67" t="str">
            <v>&lt;p class="editor-paragraph" dir="ltr"&gt;&lt;span style="white-space: pre-wrap;"&gt;It: Prossima data di revisione tasso&lt;/span&gt;&lt;/p&gt;&lt;p class="editor-paragraph" dir="ltr"&gt;&lt;span style="white-space: pre-wrap;"&gt;En: Next rate review date&lt;/span&gt;&lt;/p&gt;</v>
          </cell>
          <cell r="B67" t="str">
            <v xml:space="preserve"> It: Prossima data di revisione tasso   En: Next rate review date  </v>
          </cell>
        </row>
        <row r="68">
          <cell r="A68" t="e">
            <v>#VALUE!</v>
          </cell>
          <cell r="B68" t="e">
            <v>#VALUE!</v>
          </cell>
        </row>
        <row r="69">
          <cell r="A69" t="e">
            <v>#VALUE!</v>
          </cell>
          <cell r="B69" t="e">
            <v>#VALUE!</v>
          </cell>
        </row>
        <row r="70">
          <cell r="A70" t="e">
            <v>#VALUE!</v>
          </cell>
          <cell r="B70" t="e">
            <v>#VALUE!</v>
          </cell>
        </row>
        <row r="71">
          <cell r="A71" t="str">
            <v>COF - Cost of Funding  Rate</v>
          </cell>
          <cell r="B71" t="str">
            <v>COF - Cost of Funding  Rate</v>
          </cell>
        </row>
        <row r="72">
          <cell r="A72" t="e">
            <v>#VALUE!</v>
          </cell>
          <cell r="B72" t="e">
            <v>#VALUE!</v>
          </cell>
        </row>
        <row r="73">
          <cell r="A73" t="e">
            <v>#VALUE!</v>
          </cell>
          <cell r="B73" t="e">
            <v>#VALUE!</v>
          </cell>
        </row>
        <row r="74">
          <cell r="A74" t="e">
            <v>#VALUE!</v>
          </cell>
          <cell r="B74" t="e">
            <v>#VALUE!</v>
          </cell>
        </row>
        <row r="75">
          <cell r="A75" t="e">
            <v>#VALUE!</v>
          </cell>
          <cell r="B75" t="str">
            <v xml:space="preserve">  NON COMPLIANCE RISK  
 It : La metrica monitora il livello di efficacia della gestione delle segnalazioni sospette in ambito di Sanzioni Internazionali (risultato del controllo CP04-105)&lt;br/&gt;En : Conformity indicator, designation CP04_105 </v>
          </cell>
        </row>
        <row r="76">
          <cell r="A76" t="e">
            <v>#VALUE!</v>
          </cell>
          <cell r="B76" t="e">
            <v>#VALUE!</v>
          </cell>
        </row>
        <row r="77">
          <cell r="A77" t="e">
            <v>#VALUE!</v>
          </cell>
          <cell r="B77" t="e">
            <v>#VALUE!</v>
          </cell>
        </row>
        <row r="78">
          <cell r="A78" t="e">
            <v>#VALUE!</v>
          </cell>
          <cell r="B78" t="e">
            <v>#VALUE!</v>
          </cell>
        </row>
        <row r="79">
          <cell r="A79" t="e">
            <v>#VALUE!</v>
          </cell>
          <cell r="B79" t="e">
            <v>#VALUE!</v>
          </cell>
        </row>
        <row r="80">
          <cell r="A80" t="e">
            <v>#VALUE!</v>
          </cell>
          <cell r="B80" t="e">
            <v>#VALUE!</v>
          </cell>
        </row>
        <row r="81">
          <cell r="A81" t="e">
            <v>#VALUE!</v>
          </cell>
          <cell r="B81" t="e">
            <v>#VALUE!</v>
          </cell>
        </row>
        <row r="82">
          <cell r="A82" t="e">
            <v>#VALUE!</v>
          </cell>
          <cell r="B82" t="e">
            <v>#VALUE!</v>
          </cell>
        </row>
        <row r="83">
          <cell r="A83" t="e">
            <v>#VALUE!</v>
          </cell>
          <cell r="B83" t="e">
            <v>#VALUE!</v>
          </cell>
        </row>
        <row r="84">
          <cell r="A84" t="e">
            <v>#VALUE!</v>
          </cell>
          <cell r="B84" t="e">
            <v>#VALUE!</v>
          </cell>
        </row>
        <row r="85">
          <cell r="A85" t="e">
            <v>#VALUE!</v>
          </cell>
          <cell r="B85" t="e">
            <v>#VALUE!</v>
          </cell>
        </row>
        <row r="86">
          <cell r="A86" t="e">
            <v>#VALUE!</v>
          </cell>
          <cell r="B86" t="e">
            <v>#VALUE!</v>
          </cell>
        </row>
        <row r="87">
          <cell r="A87" t="e">
            <v>#VALUE!</v>
          </cell>
          <cell r="B87" t="e">
            <v>#VALUE!</v>
          </cell>
        </row>
        <row r="88">
          <cell r="A88" t="e">
            <v>#VALUE!</v>
          </cell>
          <cell r="B88" t="e">
            <v>#VALUE!</v>
          </cell>
        </row>
        <row r="89">
          <cell r="A89" t="e">
            <v>#VALUE!</v>
          </cell>
          <cell r="B89" t="e">
            <v>#VALUE!</v>
          </cell>
        </row>
        <row r="90">
          <cell r="A90" t="e">
            <v>#VALUE!</v>
          </cell>
          <cell r="B90" t="e">
            <v>#VALUE!</v>
          </cell>
        </row>
        <row r="91">
          <cell r="A91" t="e">
            <v>#VALUE!</v>
          </cell>
          <cell r="B91" t="e">
            <v>#VALUE!</v>
          </cell>
        </row>
        <row r="92">
          <cell r="A92" t="e">
            <v>#VALUE!</v>
          </cell>
          <cell r="B92" t="e">
            <v>#VALUE!</v>
          </cell>
        </row>
        <row r="93">
          <cell r="A93" t="e">
            <v>#VALUE!</v>
          </cell>
          <cell r="B93" t="e">
            <v>#VALUE!</v>
          </cell>
        </row>
        <row r="94">
          <cell r="A94" t="e">
            <v>#VALUE!</v>
          </cell>
          <cell r="B94" t="str">
            <v xml:space="preserve">  FINANCIAL RISK  
 It : Concentrazione della raccolta nell'anno 1, data dal totale delle scadenze della raccolta MLT sul Semestre 1 e 2. 
 En : Concentration of funding in year 1, given by the total of the maturities of MLT funding in Semesters 1 and 2. </v>
          </cell>
        </row>
        <row r="95">
          <cell r="A95" t="str">
            <v>It: Rappresenta l'ID del garante nel sistema locale utilizzato per generare il flusso&lt;br/&gt;En: Represents the guarantor's ID in the local system used to generate the flow</v>
          </cell>
          <cell r="B95" t="str">
            <v>It: Rappresenta l'ID del garante nel sistema locale utilizzato per generare il flusso&lt;br/&gt;En: Represents the guarantor's ID in the local system used to generate the flow</v>
          </cell>
        </row>
        <row r="96">
          <cell r="A96" t="str">
            <v>It: Rappresenta l'ID del garante nel sistema informatico della Divisione Risk Management del Gruppo (ovvero ID centrale RICOS)&lt;br/&gt;En: Represents the guarantor's ID in the Group Risk Management Division IT System (i.e. RICOS central ID)</v>
          </cell>
          <cell r="B96" t="str">
            <v>It: Rappresenta l'ID del garante nel sistema informatico della Divisione Risk Management del Gruppo (ovvero ID centrale RICOS)&lt;br/&gt;En: Represents the guarantor's ID in the Group Risk Management Division IT System (i.e. RICOS central ID)</v>
          </cell>
        </row>
        <row r="97">
          <cell r="A97" t="str">
            <v>It: Permette di determinare il codice corrispondente alla natura giuridica dell'attenuante ricevuta&lt;br/&gt;En: Makes it possible to determine the code corresponding to the legal nature of the mitigant received</v>
          </cell>
          <cell r="B97" t="str">
            <v>It: Permette di determinare il codice corrispondente alla natura giuridica dell'attenuante ricevuta&lt;br/&gt;En: Makes it possible to determine the code corresponding to the legal nature of the mitigant received</v>
          </cell>
        </row>
        <row r="98">
          <cell r="A98" t="str">
            <v>It: Quota iniziale dell'importo attenuante attribuibile all'entità che si assume il rischio&lt;br/&gt;En: Initial share of the mitigant amount attributable to the risk-bearing entity</v>
          </cell>
          <cell r="B98" t="str">
            <v>It: Quota iniziale dell'importo attenuante attribuibile all'entità che si assume il rischio&lt;br/&gt;En: Initial share of the mitigant amount attributable to the risk-bearing entity</v>
          </cell>
        </row>
        <row r="99">
          <cell r="A99" t="e">
            <v>#VALUE!</v>
          </cell>
          <cell r="B99" t="e">
            <v>#VALUE!</v>
          </cell>
        </row>
        <row r="100">
          <cell r="A100" t="str">
            <v>It: Data di scadenza dell'attenuante&lt;br/&gt;En: Date of expiry of the mitigant</v>
          </cell>
          <cell r="B100" t="str">
            <v>It: Data di scadenza dell'attenuante&lt;br/&gt;En: Date of expiry of the mitigant</v>
          </cell>
        </row>
        <row r="101">
          <cell r="A101" t="str">
            <v>It: Per garanzie in contanti e titoli&lt;br/&gt;En: For cash collateral and securities</v>
          </cell>
          <cell r="B101" t="str">
            <v>It: Per garanzie in contanti e titoli&lt;br/&gt;En: For cash collateral and securities</v>
          </cell>
        </row>
        <row r="102">
          <cell r="A102" t="e">
            <v>#VALUE!</v>
          </cell>
          <cell r="B102" t="e">
            <v>#VALUE!</v>
          </cell>
        </row>
        <row r="103">
          <cell r="A103" t="str">
            <v>&lt;p&gt;&lt;strong&gt;OPERATIONAL RISK&lt;/strong&gt;&lt;/p&gt;
&lt;p&gt;It : La metrica misura la più rilevante perdita operativa contabilizzata nel trimestre di riferimento&lt;/p&gt;
&lt;p&gt;En : The metric measures the largest operating loss recorded in the reference quarter&lt;/p&gt;</v>
          </cell>
          <cell r="B103" t="str">
            <v xml:space="preserve">  OPERATIONAL RISK  
 It : La metrica misura la più rilevante perdita operativa contabilizzata nel trimestre di riferimento 
 En : The metric measures the largest operating loss recorded in the reference quarter </v>
          </cell>
        </row>
        <row r="104">
          <cell r="A104" t="e">
            <v>#VALUE!</v>
          </cell>
          <cell r="B104" t="e">
            <v>#VALUE!</v>
          </cell>
        </row>
        <row r="105">
          <cell r="A105" t="e">
            <v>#VALUE!</v>
          </cell>
          <cell r="B105" t="str">
            <v xml:space="preserve">  PROFITABILITY    It: La metrica monitora la redditività della società durante il periodo di osservazione (valore annualizzato)   En: The metric monitors the company's profitability during the observation period (annualized value)  </v>
          </cell>
        </row>
        <row r="106">
          <cell r="A106" t="e">
            <v>#VALUE!</v>
          </cell>
          <cell r="B106" t="e">
            <v>#VALUE!</v>
          </cell>
        </row>
        <row r="107">
          <cell r="A107" t="e">
            <v>#VALUE!</v>
          </cell>
          <cell r="B107" t="e">
            <v>#VALUE!</v>
          </cell>
        </row>
        <row r="108">
          <cell r="A108" t="e">
            <v>#VALUE!</v>
          </cell>
          <cell r="B108" t="e">
            <v>#VALUE!</v>
          </cell>
        </row>
        <row r="109">
          <cell r="A109" t="e">
            <v>#VALUE!</v>
          </cell>
          <cell r="B109" t="e">
            <v>#VALUE!</v>
          </cell>
        </row>
        <row r="110">
          <cell r="A110" t="e">
            <v>#VALUE!</v>
          </cell>
          <cell r="B110" t="e">
            <v>#VALUE!</v>
          </cell>
        </row>
        <row r="111">
          <cell r="A111" t="e">
            <v>#VALUE!</v>
          </cell>
          <cell r="B111" t="e">
            <v>#VALUE!</v>
          </cell>
        </row>
        <row r="112">
          <cell r="A112" t="e">
            <v>#VALUE!</v>
          </cell>
          <cell r="B112" t="e">
            <v>#VALUE!</v>
          </cell>
        </row>
        <row r="113">
          <cell r="A113" t="e">
            <v>#VALUE!</v>
          </cell>
          <cell r="B113" t="e">
            <v>#VALUE!</v>
          </cell>
        </row>
        <row r="114">
          <cell r="A114" t="e">
            <v>#VALUE!</v>
          </cell>
          <cell r="B114" t="e">
            <v>#VALUE!</v>
          </cell>
        </row>
        <row r="115">
          <cell r="A115" t="e">
            <v>#VALUE!</v>
          </cell>
          <cell r="B115" t="e">
            <v>#VALUE!</v>
          </cell>
        </row>
        <row r="116">
          <cell r="A116" t="e">
            <v>#VALUE!</v>
          </cell>
          <cell r="B116" t="e">
            <v>#VALUE!</v>
          </cell>
        </row>
        <row r="117">
          <cell r="A117" t="e">
            <v>#VALUE!</v>
          </cell>
          <cell r="B117" t="e">
            <v>#VALUE!</v>
          </cell>
        </row>
        <row r="118">
          <cell r="A118" t="e">
            <v>#VALUE!</v>
          </cell>
          <cell r="B118" t="str">
            <v xml:space="preserve">  MODEL RISK  
 It : La metrica monitora il numero di Scorecards che non sono state “backtestate” senza un giustificato motivo. 
 En : The metric monitors the number of Scorecards that have not been “backtested” without a justified reason. </v>
          </cell>
        </row>
        <row r="119">
          <cell r="A119" t="e">
            <v>#VALUE!</v>
          </cell>
          <cell r="B119" t="e">
            <v>#VALUE!</v>
          </cell>
        </row>
        <row r="120">
          <cell r="A120" t="e">
            <v>#VALUE!</v>
          </cell>
          <cell r="B120" t="e">
            <v>#VALUE!</v>
          </cell>
        </row>
        <row r="121">
          <cell r="A121" t="e">
            <v>#VALUE!</v>
          </cell>
          <cell r="B121" t="e">
            <v>#VALUE!</v>
          </cell>
        </row>
        <row r="122">
          <cell r="A122" t="e">
            <v>#VALUE!</v>
          </cell>
          <cell r="B122" t="e">
            <v>#VALUE!</v>
          </cell>
        </row>
        <row r="123">
          <cell r="A123" t="e">
            <v>#VALUE!</v>
          </cell>
          <cell r="B123" t="e">
            <v>#VALUE!</v>
          </cell>
        </row>
        <row r="124">
          <cell r="A124" t="e">
            <v>#VALUE!</v>
          </cell>
          <cell r="B124" t="e">
            <v>#VALUE!</v>
          </cell>
        </row>
        <row r="125">
          <cell r="A125" t="e">
            <v>#VALUE!</v>
          </cell>
          <cell r="B125" t="str">
            <v xml:space="preserve"> It : &lt;span style="font-family: Calibri;font-size: small;"&gt;&lt;span style="font-size: 11.0pt;line-height: 107.0%;"&gt;Saldo contabile IAS. Valutazione al costo ammortizzato.                
 En : IAS accounting balance. Valuation at amortized cost  </v>
          </cell>
        </row>
        <row r="126">
          <cell r="A126" t="e">
            <v>#VALUE!</v>
          </cell>
          <cell r="B126" t="e">
            <v>#VALUE!</v>
          </cell>
        </row>
        <row r="127">
          <cell r="A127" t="e">
            <v>#VALUE!</v>
          </cell>
          <cell r="B127" t="e">
            <v>#VALUE!</v>
          </cell>
        </row>
        <row r="128">
          <cell r="A128" t="e">
            <v>#VALUE!</v>
          </cell>
          <cell r="B128" t="e">
            <v>#VALUE!</v>
          </cell>
        </row>
        <row r="129">
          <cell r="A129" t="str">
            <v>It: ID della controparte esterna nel sistema utilizzato per generare il flusso&lt;br/&gt;En: ID of external counterparty in the system used to generate the flow</v>
          </cell>
          <cell r="B129" t="str">
            <v>It: ID della controparte esterna nel sistema utilizzato per generare il flusso&lt;br/&gt;En: ID of external counterparty in the system used to generate the flow</v>
          </cell>
        </row>
        <row r="130">
          <cell r="A130" t="str">
            <v>It: ID della controparte esterna nel sistema informatico della Divisione Risk Management del Gruppo (ovvero ID centrale RICOS)&lt;br/&gt;En: ID of the external counterparty in the Group Risk Management Division IT System (i.e. RICOS central ID)</v>
          </cell>
          <cell r="B130" t="str">
            <v>It: ID della controparte esterna nel sistema informatico della Divisione Risk Management del Gruppo (ovvero ID centrale RICOS)&lt;br/&gt;En: ID of the external counterparty in the Group Risk Management Division IT System (i.e. RICOS central ID)</v>
          </cell>
        </row>
        <row r="131">
          <cell r="A131" t="str">
            <v>It: Porzione intera del CCF
Espresso come %&lt;br/&gt;En: Integer portion of the CCF
Expressed as %</v>
          </cell>
          <cell r="B131" t="str">
            <v>It: Porzione intera del CCF
Espresso come %&lt;br/&gt;En: Integer portion of the CCF
Expressed as %</v>
          </cell>
        </row>
        <row r="132">
          <cell r="A132" t="str">
            <v>It: Valuta originaria del contratto&lt;br/&gt;En: Original currency of contract</v>
          </cell>
          <cell r="B132" t="str">
            <v>It: Valuta originaria del contratto&lt;br/&gt;En: Original currency of contract</v>
          </cell>
        </row>
        <row r="133">
          <cell r="A133" t="str">
            <v>It: LGD calcolata dall'entità&lt;br/&gt;En: LGD calculated by the entity</v>
          </cell>
          <cell r="B133" t="str">
            <v>It: LGD calcolata dall'entità&lt;br/&gt;En: LGD calculated by the entity</v>
          </cell>
        </row>
        <row r="134">
          <cell r="A134" t="str">
            <v>It: Classificazione delle operazioni in base alla nomenclatura dei rischi&lt;br/&gt;En: Classification of transaction on the basis of the risk nomenclature</v>
          </cell>
          <cell r="B134" t="str">
            <v>It: Classificazione delle operazioni in base alla nomenclatura dei rischi&lt;br/&gt;En: Classification of transaction on the basis of the risk nomenclature</v>
          </cell>
        </row>
        <row r="135">
          <cell r="A135" t="str">
            <v>It: Data del primo evento di gestione delle concessioni&lt;br/&gt;En: Date of first forbearance management event</v>
          </cell>
          <cell r="B135" t="str">
            <v>It: Data del primo evento di gestione delle concessioni&lt;br/&gt;En: Date of first forbearance management event</v>
          </cell>
        </row>
        <row r="136">
          <cell r="A136" t="str">
            <v>It: Codice di transazione nel corpus di Basilea&lt;br/&gt;En: Transaction code in Basel corpus</v>
          </cell>
          <cell r="B136" t="str">
            <v>It: Codice di transazione nel corpus di Basilea&lt;br/&gt;En: Transaction code in Basel corpus</v>
          </cell>
        </row>
        <row r="137">
          <cell r="A137" t="e">
            <v>#VALUE!</v>
          </cell>
          <cell r="B137" t="e">
            <v>#VALUE!</v>
          </cell>
        </row>
        <row r="138">
          <cell r="A138" t="e">
            <v>#VALUE!</v>
          </cell>
          <cell r="B138" t="str">
            <v xml:space="preserve"> It: Indice di riferimento per tassi variabili o rivedibili   En: Reference index for variable or revisable rates   </v>
          </cell>
        </row>
        <row r="139">
          <cell r="A139" t="e">
            <v>#VALUE!</v>
          </cell>
          <cell r="B139" t="str">
            <v xml:space="preserve"> It: Tipologia di rimborso del capitale (tipologia di pagamento del capitale, la variabile segue la codifica di Gruppo LC 0218)   En: Type of repayment of the principal (type of capital payment, the variable follows the LC 0218 Group coding)  </v>
          </cell>
        </row>
        <row r="140">
          <cell r="A140" t="e">
            <v>#VALUE!</v>
          </cell>
          <cell r="B140" t="str">
            <v xml:space="preserve"> It: Tasso di prestito al cliente (tasso di interesse applicato parte decimale, parte intera, segno)   En: Customer lending rate (interest rate applied decimal part, whole part, sign)  </v>
          </cell>
        </row>
        <row r="141">
          <cell r="A141" t="e">
            <v>#VALUE!</v>
          </cell>
          <cell r="B141" t="str">
            <v xml:space="preserve"> It: Valore minimo del tasso di interesse fatturato   Espresso in %   En: Minimum value of the billed interest rate    Expressed as %  </v>
          </cell>
        </row>
        <row r="142">
          <cell r="A142" t="e">
            <v>#VALUE!</v>
          </cell>
          <cell r="B142" t="e">
            <v>#VALUE!</v>
          </cell>
        </row>
        <row r="143">
          <cell r="A143" t="e">
            <v>#VALUE!</v>
          </cell>
          <cell r="B143" t="e">
            <v>#VALUE!</v>
          </cell>
        </row>
        <row r="144">
          <cell r="A144" t="e">
            <v>#VALUE!</v>
          </cell>
          <cell r="B144" t="str">
            <v xml:space="preserve"> It: Capitale teorico rimanente dovuto (capitale a scadere, parte decimale, parte intera, segno)   En: Theoretical principal remaining due (capital to expire, decimal part, whole part, sign)  </v>
          </cell>
        </row>
        <row r="145">
          <cell r="A145" t="str">
            <v>It: Utilizzato per indicare la classificazione delle consistenze nell'IFRS9&lt;br/&gt;En: Used to indicate the classification of outstanding in IFRS9</v>
          </cell>
          <cell r="B145" t="str">
            <v>It: Utilizzato per indicare la classificazione delle consistenze nell'IFRS9&lt;br/&gt;En: Used to indicate the classification of outstanding in IFRS9</v>
          </cell>
        </row>
        <row r="146">
          <cell r="A146" t="e">
            <v>#VALUE!</v>
          </cell>
          <cell r="B146" t="e">
            <v>#VALUE!</v>
          </cell>
        </row>
        <row r="147">
          <cell r="A147" t="str">
            <v>&lt;p class="editor-paragraph" dir="ltr"&gt;&lt;span style="white-space: pre-wrap;"&gt;It: Data di emissione del titolo detenuto&lt;/span&gt;&lt;/p&gt;&lt;p class="editor-paragraph" dir="ltr"&gt;&lt;span style="white-space: pre-wrap;"&gt;En: Issuance date of the security held&lt;/span&gt;&lt;/p&gt;</v>
          </cell>
          <cell r="B147" t="str">
            <v xml:space="preserve"> It: Data di emissione del titolo detenuto   En: Issuance date of the security held  </v>
          </cell>
        </row>
        <row r="148">
          <cell r="A148" t="str">
            <v>&lt;p class="editor-paragraph" dir="ltr"&gt;&lt;span style="white-space: pre-wrap;"&gt;It: Data di inizio del contratto&lt;/span&gt;&lt;/p&gt;&lt;p class="editor-paragraph" dir="ltr"&gt;&lt;span style="white-space: pre-wrap;"&gt;En: Contract's inception date &lt;/span&gt;&lt;/p&gt;</v>
          </cell>
          <cell r="B148" t="str">
            <v xml:space="preserve"> It: Data di inizio del contratto   En: Contract's inception date   </v>
          </cell>
        </row>
        <row r="149">
          <cell r="A149" t="e">
            <v>#VALUE!</v>
          </cell>
          <cell r="B149" t="str">
            <v xml:space="preserve"> It: La data di entrata in vigore del contratto dei fondi in uso   En: The effective date of the funds in use contract  </v>
          </cell>
        </row>
        <row r="150">
          <cell r="A150" t="str">
            <v>It: Data di scadenza contrattuale&lt;br/&gt;En: Contractual due date</v>
          </cell>
          <cell r="B150" t="str">
            <v>It: Data di scadenza contrattuale&lt;br/&gt;En: Contractual due date</v>
          </cell>
        </row>
        <row r="151">
          <cell r="A151" t="e">
            <v>#VALUE!</v>
          </cell>
          <cell r="B151" t="e">
            <v>#VALUE!</v>
          </cell>
        </row>
        <row r="152">
          <cell r="A152" t="str">
            <v>It: Flag di bilancio On (B) /Off (H).&lt;br/&gt;En: On (B) /Off (H) balance-sheet flag</v>
          </cell>
          <cell r="B152" t="str">
            <v>It: Flag di bilancio On (B) /Off (H).&lt;br/&gt;En: On (B) /Off (H) balance-sheet flag</v>
          </cell>
        </row>
        <row r="153">
          <cell r="A153" t="str">
            <v>&lt;p&gt;IT: Importo del saldo residuo della quota capitale del prestito vs banche in essere alla data di osservazione&lt;/p&gt;
&lt;p&gt;EN:Remaining on balance of the principal amount of the loan outstanding vs banks at the date of observation&lt;/p&gt;
&lt;p&gt; &lt;/p&gt;</v>
          </cell>
          <cell r="B153" t="str">
            <v xml:space="preserve"> IT: Importo del saldo residuo della quota capitale del prestito vs banche in essere alla data di osservazione 
 EN:Remaining on balance of the principal amount of the loan outstanding vs banks at the date of observation 
   </v>
          </cell>
        </row>
        <row r="154">
          <cell r="A154" t="str">
            <v>It: Indicatore che consente di specificare se l'operazione è stata riconosciuta come impegno dubbio&lt;br/&gt;En: Indicator making it possible to specify if the transaction has been recognised as a doubtful commitment</v>
          </cell>
          <cell r="B154" t="str">
            <v>It: Indicatore che consente di specificare se l'operazione è stata riconosciuta come impegno dubbio&lt;br/&gt;En: Indicator making it possible to specify if the transaction has been recognised as a doubtful commitment</v>
          </cell>
        </row>
        <row r="155">
          <cell r="A155" t="e">
            <v>#VALUE!</v>
          </cell>
          <cell r="B155" t="e">
            <v>#VALUE!</v>
          </cell>
        </row>
        <row r="156">
          <cell r="A156" t="str">
            <v>&lt;p class="editor-paragraph" dir="ltr"&gt;&lt;span style="white-space: pre-wrap;"&gt;It: Obbligatorio per tasso variabile&lt;/span&gt;&lt;/p&gt;&lt;p class="editor-paragraph" dir="ltr"&gt;&lt;span style="white-space: pre-wrap;"&gt;En: Mandatory for variable rate &lt;/span&gt;&lt;/p&gt;</v>
          </cell>
          <cell r="B156" t="str">
            <v xml:space="preserve"> It: Obbligatorio per tasso variabile   En: Mandatory for variable rate   </v>
          </cell>
        </row>
        <row r="157">
          <cell r="A157" t="e">
            <v>#VALUE!</v>
          </cell>
          <cell r="B157" t="e">
            <v>#VALUE!</v>
          </cell>
        </row>
        <row r="158">
          <cell r="A158" t="e">
            <v>#VALUE!</v>
          </cell>
          <cell r="B158" t="str">
            <v xml:space="preserve"> It: Corrisponde al tasso fisso o variabile del cliente alla data di concessione   En: Corresponds fix or changing rate of the customer at the date granted date  </v>
          </cell>
        </row>
        <row r="159">
          <cell r="A159" t="str">
            <v>&lt;p class="editor-paragraph" dir="ltr"&gt;&lt;span style="white-space: pre-wrap;"&gt;It: Tariffa Minima&lt;/span&gt;&lt;/p&gt;&lt;p class="editor-paragraph" dir="ltr"&gt;&lt;span style="white-space: pre-wrap;"&gt;En: Floor rate&lt;/span&gt;&lt;/p&gt;</v>
          </cell>
          <cell r="B159" t="str">
            <v xml:space="preserve"> It: Tariffa Minima   En: Floor rate  </v>
          </cell>
        </row>
        <row r="160">
          <cell r="A160" t="e">
            <v>#VALUE!</v>
          </cell>
          <cell r="B160" t="e">
            <v>#VALUE!</v>
          </cell>
        </row>
        <row r="161">
          <cell r="A161" t="e">
            <v>#VALUE!</v>
          </cell>
          <cell r="B161" t="e">
            <v>#VALUE!</v>
          </cell>
        </row>
        <row r="162">
          <cell r="A162" t="e">
            <v>#VALUE!</v>
          </cell>
          <cell r="B162" t="e">
            <v>#VALUE!</v>
          </cell>
        </row>
        <row r="163">
          <cell r="A163" t="e">
            <v>#VALUE!</v>
          </cell>
          <cell r="B163" t="str">
            <v xml:space="preserve"> It: Data prevista  &lt;span style="background-color: rgb(250,250,250);white-space: pre-wrap;"&gt;di  &lt;span style="white-space: pre-wrap;"&gt;fine del contratto   En: Expected end date of the contract  </v>
          </cell>
        </row>
        <row r="164">
          <cell r="A164" t="e">
            <v>#VALUE!</v>
          </cell>
          <cell r="B164" t="str">
            <v xml:space="preserve"> It: Data di inizio contrattuale dell'impegno fuori bilancio   En: Commitment’s contractual Start date of the off balance-sheet   </v>
          </cell>
        </row>
        <row r="165">
          <cell r="A165" t="e">
            <v>#VALUE!</v>
          </cell>
          <cell r="B165" t="str">
            <v xml:space="preserve"> It: La data di fine del contratto di impegno è la data di fine dell'impegno fuori bilancio quando una quota viene utilizzata.   En: Commitments contractual end date is the off balance-sheet commitment end date when a portion is drawn down.  </v>
          </cell>
        </row>
        <row r="166">
          <cell r="A166" t="str">
            <v>&lt;p class="editor-paragraph" dir="ltr"&gt;&lt;span style="white-space: pre-wrap;"&gt;It: Tipo di tasso fisso, variabile...&lt;/span&gt;&lt;/p&gt;&lt;p class="editor-paragraph" dir="ltr"&gt;&lt;span style="white-space: pre-wrap;"&gt;En: Rate type fixed, variable...&lt;/span&gt;&lt;/p&gt;</v>
          </cell>
          <cell r="B166" t="str">
            <v xml:space="preserve"> It: Tipo di tasso fisso, variabile...   En: Rate type fixed, variable...  </v>
          </cell>
        </row>
        <row r="167">
          <cell r="A167" t="e">
            <v>#VALUE!</v>
          </cell>
          <cell r="B167" t="e">
            <v>#VALUE!</v>
          </cell>
        </row>
        <row r="168">
          <cell r="A168" t="str">
            <v>It: Importo del provvedimento
  taglio di capelli&lt;br/&gt;En: Amount of the provision 
 haircut</v>
          </cell>
          <cell r="B168" t="str">
            <v>It: Importo del provvedimento
  taglio di capelli&lt;br/&gt;En: Amount of the provision 
 haircut</v>
          </cell>
        </row>
        <row r="169">
          <cell r="A169" t="str">
            <v>&lt;p class="editor-paragraph" dir="ltr"&gt;&lt;span style="white-space: pre-wrap;"&gt;It: Tariffa minima&lt;/span&gt;&lt;/p&gt;&lt;p class="editor-paragraph" dir="ltr"&gt;&lt;span style="white-space: pre-wrap;"&gt;En: Rate floor&lt;/span&gt;&lt;/p&gt;</v>
          </cell>
          <cell r="B169" t="str">
            <v xml:space="preserve"> It: Tariffa minima   En: Rate floor  </v>
          </cell>
        </row>
        <row r="170">
          <cell r="A170" t="str">
            <v>&lt;p class="editor-paragraph" dir="ltr"&gt;&lt;span style="white-space: pre-wrap;"&gt;It: Data emissione.&lt;/span&gt;&lt;/p&gt;&lt;p class="editor-paragraph" dir="ltr"&gt;&lt;span style="white-space: pre-wrap;"&gt;En: Date of issue.&lt;/span&gt;&lt;/p&gt;</v>
          </cell>
          <cell r="B170" t="str">
            <v xml:space="preserve"> It: Data emissione.   En: Date of issue.  </v>
          </cell>
        </row>
        <row r="171">
          <cell r="A171" t="e">
            <v>#VALUE!</v>
          </cell>
          <cell r="B171" t="str">
            <v xml:space="preserve"> It: Codice prodotto   inserire "TITPATIT "TITOBLIG"   En: Product code    enter  "TITPATIT "TITOBLIG"  </v>
          </cell>
        </row>
        <row r="172">
          <cell r="A172" t="e">
            <v>#VALUE!</v>
          </cell>
          <cell r="B172" t="str">
            <v xml:space="preserve"> It: Data emissione. Inizo validità del titolo   FWZZ, scheda "Dati di Base"  =&amp;gt; "inizio emiss."  &lt;p class="editor-paragraph"&gt;&lt;br/&gt;  En: Date of issue. Start of validity of the title   FWZZ, "Basic Data" tab =&amp;gt; "start of issue."  </v>
          </cell>
        </row>
        <row r="173">
          <cell r="A173" t="e">
            <v>#VALUE!</v>
          </cell>
          <cell r="B173" t="str">
            <v xml:space="preserve"> It: Data fine validità (data ultimo rimborso) presente nei "dati di base" del titolo   En: Validity end date (last refund date) present in the "basic data" of the title  </v>
          </cell>
        </row>
        <row r="174">
          <cell r="A174" t="e">
            <v>#VALUE!</v>
          </cell>
          <cell r="B174" t="e">
            <v>#VALUE!</v>
          </cell>
        </row>
        <row r="175">
          <cell r="A175" t="str">
            <v>&lt;p class="editor-paragraph" dir="ltr"&gt;&lt;span style="white-space: pre-wrap;"&gt;it: Codice tasso interesse di riferimento&lt;/span&gt;&lt;/p&gt;&lt;p class="editor-paragraph" dir="ltr"&gt;&lt;span style="white-space: pre-wrap;"&gt;En: Index code&lt;/span&gt;&lt;/p&gt;</v>
          </cell>
          <cell r="B175" t="str">
            <v xml:space="preserve"> it: Codice tasso interesse di riferimento   En: Index code  </v>
          </cell>
        </row>
        <row r="176">
          <cell r="A176" t="e">
            <v>#VALUE!</v>
          </cell>
          <cell r="B176" t="e">
            <v>#VALUE!</v>
          </cell>
        </row>
        <row r="177">
          <cell r="A177" t="e">
            <v>#VALUE!</v>
          </cell>
          <cell r="B177" t="e">
            <v>#VALUE!</v>
          </cell>
        </row>
        <row r="178">
          <cell r="A178" t="str">
            <v>&lt;p class="editor-paragraph" dir="ltr"&gt;&lt;span style="white-space: pre-wrap;"&gt;It: Tipo Ammortamento Fisso  = "O"&lt;/span&gt;&lt;/p&gt;&lt;p class="editor-paragraph" dir="ltr"&gt;&lt;span style="white-space: pre-wrap;"&gt;En: Fixed Depreciation Type = "O"&lt;/span&gt;&lt;/p&gt;</v>
          </cell>
          <cell r="B178" t="str">
            <v xml:space="preserve"> It: Tipo Ammortamento Fisso  = "O"   En: Fixed Depreciation Type = "O"  </v>
          </cell>
        </row>
        <row r="179">
          <cell r="A179" t="e">
            <v>#VALUE!</v>
          </cell>
          <cell r="B179" t="str">
            <v xml:space="preserve"> It: Indica il tasso di indice dell'operazione quando è variabile o regolabile   En: Indicates the index rate of the deal when floating or adjustable  </v>
          </cell>
        </row>
        <row r="180">
          <cell r="A180" t="e">
            <v>#VALUE!</v>
          </cell>
          <cell r="B180" t="e">
            <v>#VALUE!</v>
          </cell>
        </row>
        <row r="181">
          <cell r="A181" t="str">
            <v>&lt;p class="editor-paragraph" dir="ltr"&gt;&lt;span style="white-space: pre-wrap;"&gt;It: Data inizio validità&lt;/span&gt;&lt;/p&gt;&lt;p class="editor-paragraph" dir="ltr"&gt;&lt;span style="white-space: pre-wrap;"&gt;En: Date d'engagement&lt;/span&gt;&lt;/p&gt;</v>
          </cell>
          <cell r="B181" t="str">
            <v xml:space="preserve"> It: Data inizio validità   En: Date d'engagement  </v>
          </cell>
        </row>
        <row r="182">
          <cell r="A182" t="e">
            <v>#VALUE!</v>
          </cell>
          <cell r="B182" t="e">
            <v>#VALUE!</v>
          </cell>
        </row>
        <row r="183">
          <cell r="A183" t="str">
            <v>&lt;p class="editor-paragraph" dir="ltr"&gt;&lt;span style="white-space: pre-wrap;"&gt;It: Data inizio validità del finanziamento&lt;/span&gt;&lt;/p&gt;&lt;p class="editor-paragraph" dir="ltr"&gt;&lt;span style="white-space: pre-wrap;"&gt;En: Financing validity start date&lt;/span&gt;&lt;/p&gt;</v>
          </cell>
          <cell r="B183" t="str">
            <v xml:space="preserve"> It: Data inizio validità del finanziamento   En: Financing validity start date  </v>
          </cell>
        </row>
        <row r="184">
          <cell r="A184" t="str">
            <v>&lt;p class="editor-paragraph" dir="ltr"&gt;&lt;span style="white-space: pre-wrap;"&gt;It: Data fine validità del finanziamento&lt;/span&gt;&lt;/p&gt;&lt;p class="editor-paragraph" dir="ltr"&gt;&lt;span style="white-space: pre-wrap;"&gt;En: Financing validity end date&lt;/span&gt;&lt;/p&gt;</v>
          </cell>
          <cell r="B184" t="str">
            <v xml:space="preserve"> It: Data fine validità del finanziamento   En: Financing validity end date  </v>
          </cell>
        </row>
        <row r="185">
          <cell r="A185" t="e">
            <v>#VALUE!</v>
          </cell>
          <cell r="B185" t="e">
            <v>#VALUE!</v>
          </cell>
        </row>
        <row r="186">
          <cell r="A186" t="e">
            <v>#VALUE!</v>
          </cell>
          <cell r="B186" t="e">
            <v>#VALUE!</v>
          </cell>
        </row>
        <row r="187">
          <cell r="A187" t="e">
            <v>#VALUE!</v>
          </cell>
          <cell r="B187" t="e">
            <v>#VALUE!</v>
          </cell>
        </row>
        <row r="188">
          <cell r="A188" t="e">
            <v>#VALUE!</v>
          </cell>
          <cell r="B188" t="e">
            <v>#VALUE!</v>
          </cell>
        </row>
        <row r="189">
          <cell r="A189" t="e">
            <v>#VALUE!</v>
          </cell>
          <cell r="B189" t="e">
            <v>#VALUE!</v>
          </cell>
        </row>
        <row r="190">
          <cell r="A190" t="e">
            <v>#VALUE!</v>
          </cell>
          <cell r="B190" t="e">
            <v>#VALUE!</v>
          </cell>
        </row>
        <row r="191">
          <cell r="A191" t="e">
            <v>#VALUE!</v>
          </cell>
          <cell r="B191" t="e">
            <v>#VALUE!</v>
          </cell>
        </row>
        <row r="192">
          <cell r="A192" t="e">
            <v>#VALUE!</v>
          </cell>
          <cell r="B192" t="e">
            <v>#VALUE!</v>
          </cell>
        </row>
        <row r="193">
          <cell r="A193" t="e">
            <v>#VALUE!</v>
          </cell>
          <cell r="B193" t="e">
            <v>#VALUE!</v>
          </cell>
        </row>
        <row r="194">
          <cell r="A194" t="e">
            <v>#VALUE!</v>
          </cell>
          <cell r="B194" t="e">
            <v>#VALUE!</v>
          </cell>
        </row>
        <row r="195">
          <cell r="A195" t="e">
            <v>#VALUE!</v>
          </cell>
          <cell r="B195" t="str">
            <v xml:space="preserve">   PROFITABILITY  
 It : La metrica monitora la redditività della società in relazione al capitale assorbito, ponderato per il rischio &lt;br/&gt;En : The metric monitors the company's profitability in relation to its risk-adjusted capital. </v>
          </cell>
        </row>
        <row r="196">
          <cell r="A196" t="e">
            <v>#VALUE!</v>
          </cell>
          <cell r="B196" t="e">
            <v>#VALUE!</v>
          </cell>
        </row>
        <row r="197">
          <cell r="A197" t="e">
            <v>#VALUE!</v>
          </cell>
          <cell r="B197" t="e">
            <v>#VALUE!</v>
          </cell>
        </row>
        <row r="198">
          <cell r="A198" t="e">
            <v>#VALUE!</v>
          </cell>
          <cell r="B198" t="e">
            <v>#VALUE!</v>
          </cell>
        </row>
        <row r="199">
          <cell r="A199" t="e">
            <v>#VALUE!</v>
          </cell>
          <cell r="B199" t="e">
            <v>#VALUE!</v>
          </cell>
        </row>
        <row r="200">
          <cell r="A200" t="e">
            <v>#VALUE!</v>
          </cell>
          <cell r="B200" t="e">
            <v>#VALUE!</v>
          </cell>
        </row>
        <row r="201">
          <cell r="A201" t="e">
            <v>#VALUE!</v>
          </cell>
          <cell r="B201" t="e">
            <v>#VALUE!</v>
          </cell>
        </row>
        <row r="202">
          <cell r="A202" t="e">
            <v>#VALUE!</v>
          </cell>
          <cell r="B202" t="e">
            <v>#VALUE!</v>
          </cell>
        </row>
        <row r="203">
          <cell r="A203" t="e">
            <v>#VALUE!</v>
          </cell>
          <cell r="B203" t="e">
            <v>#VALUE!</v>
          </cell>
        </row>
        <row r="204">
          <cell r="A204" t="e">
            <v>#VALUE!</v>
          </cell>
          <cell r="B204" t="e">
            <v>#VALUE!</v>
          </cell>
        </row>
        <row r="205">
          <cell r="A205" t="e">
            <v>#VALUE!</v>
          </cell>
          <cell r="B205" t="e">
            <v>#VALUE!</v>
          </cell>
        </row>
        <row r="206">
          <cell r="A206" t="e">
            <v>#VALUE!</v>
          </cell>
          <cell r="B206" t="e">
            <v>#VALUE!</v>
          </cell>
        </row>
        <row r="207">
          <cell r="A207" t="e">
            <v>#VALUE!</v>
          </cell>
          <cell r="B207" t="e">
            <v>#VALUE!</v>
          </cell>
        </row>
        <row r="208">
          <cell r="A208" t="e">
            <v>#VALUE!</v>
          </cell>
          <cell r="B208" t="e">
            <v>#VALUE!</v>
          </cell>
        </row>
        <row r="209">
          <cell r="A209" t="e">
            <v>#VALUE!</v>
          </cell>
          <cell r="B209" t="e">
            <v>#VALUE!</v>
          </cell>
        </row>
        <row r="210">
          <cell r="A210" t="e">
            <v>#VALUE!</v>
          </cell>
          <cell r="B210" t="e">
            <v>#VALUE!</v>
          </cell>
        </row>
        <row r="211">
          <cell r="A211" t="str">
            <v>&lt;p&gt;&lt;strong&gt;COUNTRY RISK&lt;/strong&gt;&lt;/p&gt;
&lt;p&gt;It : La metrica monitora l’esposizione totale nei confronti degli stati sovrani suddivisa per Paese.&lt;/p&gt;
&lt;p&gt;En : The metric monitors the total exposure to sovereign states broken down by country.&lt;/p&gt;</v>
          </cell>
          <cell r="B211" t="str">
            <v xml:space="preserve">  COUNTRY RISK  
 It : La metrica monitora l’esposizione totale nei confronti degli stati sovrani suddivisa per Paese. 
 En : The metric monitors the total exposure to sovereign states broken down by country. </v>
          </cell>
        </row>
        <row r="212">
          <cell r="A212" t="e">
            <v>#VALUE!</v>
          </cell>
          <cell r="B212" t="str">
            <v xml:space="preserve">  PROFITABILITY  
 It:  La metrica misura lo spread applicato ai volumi prodotti durante il periodo di osservazione (valore Ytd) 
 En: The metric measures the spread applied to the volumes produced during the observation period (Ytd value)  </v>
          </cell>
        </row>
        <row r="213">
          <cell r="A213" t="e">
            <v>#VALUE!</v>
          </cell>
          <cell r="B213" t="e">
            <v>#VALUE!</v>
          </cell>
        </row>
        <row r="214">
          <cell r="A214" t="e">
            <v>#VALUE!</v>
          </cell>
          <cell r="B214" t="e">
            <v>#VALUE!</v>
          </cell>
        </row>
        <row r="215">
          <cell r="A215" t="e">
            <v>#VALUE!</v>
          </cell>
          <cell r="B215" t="e">
            <v>#VALUE!</v>
          </cell>
        </row>
        <row r="216">
          <cell r="A216" t="e">
            <v>#VALUE!</v>
          </cell>
          <cell r="B216" t="e">
            <v>#VALUE!</v>
          </cell>
        </row>
        <row r="217">
          <cell r="A217" t="e">
            <v>#VALUE!</v>
          </cell>
          <cell r="B217" t="e">
            <v>#VALUE!</v>
          </cell>
        </row>
        <row r="218">
          <cell r="A218" t="e">
            <v>#VALUE!</v>
          </cell>
          <cell r="B218" t="e">
            <v>#VALUE!</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39A1E-16A9-40C0-B7FC-1C36988360F5}">
  <dimension ref="A1:AC399"/>
  <sheetViews>
    <sheetView tabSelected="1" zoomScale="90" zoomScaleNormal="90" workbookViewId="0">
      <selection sqref="A1:A1048576"/>
    </sheetView>
  </sheetViews>
  <sheetFormatPr defaultColWidth="8.7109375" defaultRowHeight="14.45"/>
  <cols>
    <col min="1" max="1" width="26" customWidth="1"/>
    <col min="2" max="2" width="53.28515625" customWidth="1"/>
    <col min="3" max="3" width="33.85546875" customWidth="1"/>
    <col min="4" max="4" width="10.85546875" customWidth="1"/>
    <col min="5" max="5" width="11.7109375" customWidth="1"/>
    <col min="6" max="7" width="25.5703125" customWidth="1"/>
    <col min="8" max="8" width="22.140625" customWidth="1"/>
    <col min="9" max="9" width="29.5703125" customWidth="1"/>
    <col min="10" max="11" width="41.7109375" customWidth="1"/>
    <col min="12" max="12" width="9.140625" bestFit="1" customWidth="1"/>
    <col min="13" max="13" width="47.85546875" hidden="1" customWidth="1"/>
    <col min="14" max="14" width="39.7109375" style="3" customWidth="1"/>
    <col min="15" max="15" width="19.28515625" customWidth="1"/>
    <col min="17" max="17" width="10.85546875" customWidth="1"/>
    <col min="20" max="20" width="8.7109375" style="14"/>
    <col min="21" max="22" width="12.140625" customWidth="1"/>
    <col min="24" max="24" width="12.7109375" customWidth="1"/>
    <col min="27" max="27" width="35.85546875" customWidth="1"/>
    <col min="28" max="28" width="12.5703125" customWidth="1"/>
  </cols>
  <sheetData>
    <row r="1" spans="1:29" s="3" customFormat="1" ht="72.599999999999994">
      <c r="A1" s="4" t="s">
        <v>0</v>
      </c>
      <c r="B1" s="4" t="s">
        <v>1</v>
      </c>
      <c r="C1" s="4" t="s">
        <v>2</v>
      </c>
      <c r="D1" s="4" t="s">
        <v>3</v>
      </c>
      <c r="E1" s="4" t="s">
        <v>4</v>
      </c>
      <c r="F1" s="4" t="s">
        <v>5</v>
      </c>
      <c r="G1" s="4" t="s">
        <v>6</v>
      </c>
      <c r="H1" s="5" t="s">
        <v>7</v>
      </c>
      <c r="I1" s="5" t="s">
        <v>8</v>
      </c>
      <c r="J1" s="5" t="s">
        <v>9</v>
      </c>
      <c r="K1" s="5" t="s">
        <v>10</v>
      </c>
      <c r="L1" s="4" t="s">
        <v>11</v>
      </c>
      <c r="M1" s="6" t="s">
        <v>12</v>
      </c>
      <c r="N1" s="6" t="s">
        <v>13</v>
      </c>
      <c r="O1" s="7" t="s">
        <v>14</v>
      </c>
      <c r="P1" s="7" t="s">
        <v>15</v>
      </c>
      <c r="Q1" s="7" t="s">
        <v>16</v>
      </c>
      <c r="R1" s="7" t="s">
        <v>17</v>
      </c>
      <c r="S1" s="7" t="s">
        <v>18</v>
      </c>
      <c r="T1" s="8" t="s">
        <v>19</v>
      </c>
      <c r="U1" s="7" t="s">
        <v>20</v>
      </c>
      <c r="V1" s="7" t="s">
        <v>21</v>
      </c>
      <c r="W1" s="7" t="s">
        <v>22</v>
      </c>
      <c r="X1" s="7" t="s">
        <v>23</v>
      </c>
      <c r="Y1" s="7" t="s">
        <v>24</v>
      </c>
      <c r="Z1" s="7" t="s">
        <v>25</v>
      </c>
      <c r="AA1" s="7" t="s">
        <v>26</v>
      </c>
      <c r="AB1" s="7" t="s">
        <v>27</v>
      </c>
      <c r="AC1" s="7" t="s">
        <v>28</v>
      </c>
    </row>
    <row r="2" spans="1:29" ht="27.95" customHeight="1">
      <c r="A2" s="9" t="s">
        <v>29</v>
      </c>
      <c r="B2" s="9" t="s">
        <v>30</v>
      </c>
      <c r="C2" s="9"/>
      <c r="D2" s="9" t="s">
        <v>31</v>
      </c>
      <c r="E2" s="9" t="s">
        <v>32</v>
      </c>
      <c r="F2" s="9" t="s">
        <v>33</v>
      </c>
      <c r="G2" s="9" t="s">
        <v>34</v>
      </c>
      <c r="H2" s="10"/>
      <c r="I2" s="9"/>
      <c r="J2" s="9" t="s">
        <v>35</v>
      </c>
      <c r="K2" s="9"/>
      <c r="L2" s="9"/>
      <c r="M2" s="10" t="s">
        <v>36</v>
      </c>
      <c r="N2" s="10" t="str">
        <f>IFERROR(VLOOKUP(M2,[1]DESC!A:B,2,FALSE),"")</f>
        <v/>
      </c>
      <c r="O2" s="9"/>
      <c r="P2" s="9"/>
      <c r="Q2" s="9"/>
      <c r="R2" s="9"/>
      <c r="S2" s="9"/>
      <c r="T2" s="11"/>
      <c r="U2" s="12" t="s">
        <v>37</v>
      </c>
      <c r="V2" s="12" t="s">
        <v>38</v>
      </c>
      <c r="W2" s="9">
        <v>10</v>
      </c>
      <c r="X2" s="9" t="s">
        <v>39</v>
      </c>
      <c r="Y2" s="9" t="s">
        <v>40</v>
      </c>
      <c r="Z2" s="9" t="s">
        <v>41</v>
      </c>
      <c r="AA2" s="9" t="s">
        <v>42</v>
      </c>
      <c r="AB2" s="9"/>
      <c r="AC2" s="9"/>
    </row>
    <row r="3" spans="1:29" ht="22.5" customHeight="1">
      <c r="A3" s="9" t="s">
        <v>29</v>
      </c>
      <c r="B3" s="9" t="s">
        <v>43</v>
      </c>
      <c r="C3" s="9"/>
      <c r="D3" s="9" t="s">
        <v>31</v>
      </c>
      <c r="E3" s="9" t="s">
        <v>44</v>
      </c>
      <c r="F3" s="9" t="s">
        <v>33</v>
      </c>
      <c r="G3" s="9" t="s">
        <v>34</v>
      </c>
      <c r="H3" s="10"/>
      <c r="I3" s="9"/>
      <c r="J3" s="9" t="s">
        <v>35</v>
      </c>
      <c r="K3" s="9"/>
      <c r="L3" s="9"/>
      <c r="M3" s="10" t="s">
        <v>45</v>
      </c>
      <c r="N3" s="10" t="str">
        <f>IFERROR(VLOOKUP(M3,[1]DESC!A:B,2,FALSE),"")</f>
        <v/>
      </c>
      <c r="O3" s="9"/>
      <c r="P3" s="9"/>
      <c r="Q3" s="9"/>
      <c r="R3" s="9"/>
      <c r="S3" s="9"/>
      <c r="T3" s="11"/>
      <c r="U3" s="12" t="s">
        <v>46</v>
      </c>
      <c r="V3" s="12" t="s">
        <v>47</v>
      </c>
      <c r="W3" s="9">
        <v>10</v>
      </c>
      <c r="X3" s="9" t="s">
        <v>39</v>
      </c>
      <c r="Y3" s="9" t="s">
        <v>40</v>
      </c>
      <c r="Z3" s="9" t="s">
        <v>41</v>
      </c>
      <c r="AA3" s="9" t="s">
        <v>42</v>
      </c>
      <c r="AB3" s="9"/>
      <c r="AC3" s="9"/>
    </row>
    <row r="4" spans="1:29" ht="22.5" customHeight="1">
      <c r="A4" s="9" t="s">
        <v>29</v>
      </c>
      <c r="B4" s="9" t="s">
        <v>48</v>
      </c>
      <c r="C4" s="9"/>
      <c r="D4" s="9" t="s">
        <v>31</v>
      </c>
      <c r="E4" s="9" t="s">
        <v>32</v>
      </c>
      <c r="F4" s="9" t="s">
        <v>33</v>
      </c>
      <c r="G4" s="9" t="s">
        <v>34</v>
      </c>
      <c r="H4" s="10"/>
      <c r="I4" s="9"/>
      <c r="J4" s="9" t="s">
        <v>49</v>
      </c>
      <c r="K4" s="9"/>
      <c r="L4" s="9" t="s">
        <v>50</v>
      </c>
      <c r="M4" s="10" t="s">
        <v>51</v>
      </c>
      <c r="N4" s="10" t="str">
        <f>IFERROR(VLOOKUP(M4,[1]DESC!A:B,2,FALSE),"")</f>
        <v/>
      </c>
      <c r="O4" s="9"/>
      <c r="P4" s="9"/>
      <c r="Q4" s="9"/>
      <c r="R4" s="9"/>
      <c r="S4" s="9"/>
      <c r="T4" s="11"/>
      <c r="U4" s="12" t="s">
        <v>52</v>
      </c>
      <c r="V4" s="12" t="s">
        <v>53</v>
      </c>
      <c r="W4" s="9">
        <v>10</v>
      </c>
      <c r="X4" s="9" t="s">
        <v>39</v>
      </c>
      <c r="Y4" s="9" t="s">
        <v>40</v>
      </c>
      <c r="Z4" s="9" t="s">
        <v>41</v>
      </c>
      <c r="AA4" s="9" t="s">
        <v>42</v>
      </c>
      <c r="AB4" s="9"/>
      <c r="AC4" s="9"/>
    </row>
    <row r="5" spans="1:29" ht="22.5" customHeight="1">
      <c r="A5" s="9" t="s">
        <v>29</v>
      </c>
      <c r="B5" s="9" t="s">
        <v>54</v>
      </c>
      <c r="C5" s="9"/>
      <c r="D5" s="9" t="s">
        <v>31</v>
      </c>
      <c r="E5" s="9" t="s">
        <v>44</v>
      </c>
      <c r="F5" s="9" t="s">
        <v>33</v>
      </c>
      <c r="G5" s="9" t="s">
        <v>34</v>
      </c>
      <c r="H5" s="10" t="s">
        <v>55</v>
      </c>
      <c r="I5" s="9"/>
      <c r="J5" s="9" t="s">
        <v>49</v>
      </c>
      <c r="K5" s="9"/>
      <c r="L5" s="9"/>
      <c r="M5" s="10" t="s">
        <v>56</v>
      </c>
      <c r="N5" s="10" t="str">
        <f>IFERROR(VLOOKUP(M5,[1]DESC!A:B,2,FALSE),"")</f>
        <v/>
      </c>
      <c r="O5" s="9"/>
      <c r="P5" s="9"/>
      <c r="Q5" s="9"/>
      <c r="R5" s="9"/>
      <c r="S5" s="9"/>
      <c r="T5" s="11"/>
      <c r="U5" s="12" t="s">
        <v>57</v>
      </c>
      <c r="V5" s="12" t="s">
        <v>47</v>
      </c>
      <c r="W5" s="9">
        <v>10</v>
      </c>
      <c r="X5" s="9" t="s">
        <v>39</v>
      </c>
      <c r="Y5" s="9" t="s">
        <v>40</v>
      </c>
      <c r="Z5" s="9" t="s">
        <v>41</v>
      </c>
      <c r="AA5" s="9" t="s">
        <v>42</v>
      </c>
      <c r="AB5" s="9"/>
      <c r="AC5" s="9"/>
    </row>
    <row r="6" spans="1:29" ht="22.5" customHeight="1">
      <c r="A6" s="9" t="s">
        <v>29</v>
      </c>
      <c r="B6" s="9" t="s">
        <v>54</v>
      </c>
      <c r="C6" s="9"/>
      <c r="D6" s="9" t="s">
        <v>31</v>
      </c>
      <c r="E6" s="9" t="s">
        <v>44</v>
      </c>
      <c r="F6" s="9" t="s">
        <v>33</v>
      </c>
      <c r="G6" s="9" t="s">
        <v>34</v>
      </c>
      <c r="H6" s="10" t="s">
        <v>58</v>
      </c>
      <c r="I6" s="9"/>
      <c r="J6" s="9" t="s">
        <v>49</v>
      </c>
      <c r="K6" s="9"/>
      <c r="L6" s="9"/>
      <c r="M6" s="10" t="s">
        <v>56</v>
      </c>
      <c r="N6" s="10" t="str">
        <f>IFERROR(VLOOKUP(M6,[1]DESC!A:B,2,FALSE),"")</f>
        <v/>
      </c>
      <c r="O6" s="9"/>
      <c r="P6" s="9"/>
      <c r="Q6" s="9"/>
      <c r="R6" s="9"/>
      <c r="S6" s="9"/>
      <c r="T6" s="11"/>
      <c r="U6" s="12" t="s">
        <v>57</v>
      </c>
      <c r="V6" s="12" t="s">
        <v>47</v>
      </c>
      <c r="W6" s="9">
        <v>10</v>
      </c>
      <c r="X6" s="9" t="s">
        <v>39</v>
      </c>
      <c r="Y6" s="9" t="s">
        <v>40</v>
      </c>
      <c r="Z6" s="9" t="s">
        <v>41</v>
      </c>
      <c r="AA6" s="9" t="s">
        <v>42</v>
      </c>
      <c r="AB6" s="9"/>
      <c r="AC6" s="9"/>
    </row>
    <row r="7" spans="1:29" ht="22.5" customHeight="1">
      <c r="A7" s="9" t="s">
        <v>29</v>
      </c>
      <c r="B7" s="9" t="s">
        <v>59</v>
      </c>
      <c r="C7" s="9"/>
      <c r="D7" s="9" t="s">
        <v>31</v>
      </c>
      <c r="E7" s="9" t="s">
        <v>32</v>
      </c>
      <c r="F7" s="9" t="s">
        <v>33</v>
      </c>
      <c r="G7" s="9" t="s">
        <v>34</v>
      </c>
      <c r="H7" s="10"/>
      <c r="I7" s="9"/>
      <c r="J7" s="9" t="s">
        <v>49</v>
      </c>
      <c r="K7" s="9"/>
      <c r="L7" s="9"/>
      <c r="M7" s="10" t="s">
        <v>60</v>
      </c>
      <c r="N7" s="10" t="str">
        <f>IFERROR(VLOOKUP(M7,[1]DESC!A:B,2,FALSE),"")</f>
        <v xml:space="preserve">  COUNTRY RISK  
 It : La metrica monitora l’esposizione totale nei confronti delle banche 
 En : The metric monitors the total exposure to banks </v>
      </c>
      <c r="O7" s="9"/>
      <c r="P7" s="9"/>
      <c r="Q7" s="9"/>
      <c r="R7" s="9"/>
      <c r="S7" s="9"/>
      <c r="T7" s="11"/>
      <c r="U7" s="12" t="s">
        <v>37</v>
      </c>
      <c r="V7" s="12" t="s">
        <v>47</v>
      </c>
      <c r="W7" s="9">
        <v>10</v>
      </c>
      <c r="X7" s="9" t="s">
        <v>39</v>
      </c>
      <c r="Y7" s="9" t="s">
        <v>40</v>
      </c>
      <c r="Z7" s="9" t="s">
        <v>41</v>
      </c>
      <c r="AA7" s="9" t="s">
        <v>42</v>
      </c>
      <c r="AB7" s="9"/>
      <c r="AC7" s="9"/>
    </row>
    <row r="8" spans="1:29" ht="22.5" customHeight="1">
      <c r="A8" s="9" t="s">
        <v>29</v>
      </c>
      <c r="B8" s="9" t="s">
        <v>61</v>
      </c>
      <c r="C8" s="9"/>
      <c r="D8" s="9" t="s">
        <v>31</v>
      </c>
      <c r="E8" s="9" t="s">
        <v>44</v>
      </c>
      <c r="F8" s="9" t="s">
        <v>33</v>
      </c>
      <c r="G8" s="9" t="s">
        <v>34</v>
      </c>
      <c r="H8" s="10"/>
      <c r="I8" s="9"/>
      <c r="J8" s="9" t="s">
        <v>49</v>
      </c>
      <c r="K8" s="9"/>
      <c r="L8" s="9"/>
      <c r="M8" s="10" t="s">
        <v>62</v>
      </c>
      <c r="N8" s="10" t="str">
        <f>IFERROR(VLOOKUP(M8,[1]DESC!A:B,2,FALSE),"")</f>
        <v/>
      </c>
      <c r="O8" s="9"/>
      <c r="P8" s="9"/>
      <c r="Q8" s="9"/>
      <c r="R8" s="9"/>
      <c r="S8" s="9"/>
      <c r="T8" s="11"/>
      <c r="U8" s="12" t="s">
        <v>37</v>
      </c>
      <c r="V8" s="12" t="s">
        <v>47</v>
      </c>
      <c r="W8" s="9">
        <v>10</v>
      </c>
      <c r="X8" s="9" t="s">
        <v>39</v>
      </c>
      <c r="Y8" s="9" t="s">
        <v>40</v>
      </c>
      <c r="Z8" s="9" t="s">
        <v>41</v>
      </c>
      <c r="AA8" s="9" t="s">
        <v>42</v>
      </c>
      <c r="AB8" s="9"/>
      <c r="AC8" s="9"/>
    </row>
    <row r="9" spans="1:29" ht="22.5" customHeight="1">
      <c r="A9" s="9" t="s">
        <v>29</v>
      </c>
      <c r="B9" s="9" t="s">
        <v>63</v>
      </c>
      <c r="C9" s="9"/>
      <c r="D9" s="9" t="s">
        <v>31</v>
      </c>
      <c r="E9" s="9" t="s">
        <v>44</v>
      </c>
      <c r="F9" s="9" t="s">
        <v>33</v>
      </c>
      <c r="G9" s="9" t="s">
        <v>34</v>
      </c>
      <c r="H9" s="10"/>
      <c r="I9" s="9"/>
      <c r="J9" s="9" t="s">
        <v>49</v>
      </c>
      <c r="K9" s="9"/>
      <c r="L9" s="9"/>
      <c r="M9" s="10" t="s">
        <v>64</v>
      </c>
      <c r="N9" s="10" t="str">
        <f>IFERROR(VLOOKUP(M9,[1]DESC!A:B,2,FALSE),"")</f>
        <v/>
      </c>
      <c r="O9" s="9"/>
      <c r="P9" s="9"/>
      <c r="Q9" s="9"/>
      <c r="R9" s="9"/>
      <c r="S9" s="9"/>
      <c r="T9" s="11"/>
      <c r="U9" s="12" t="s">
        <v>37</v>
      </c>
      <c r="V9" s="12" t="s">
        <v>47</v>
      </c>
      <c r="W9" s="9">
        <v>10</v>
      </c>
      <c r="X9" s="9" t="s">
        <v>39</v>
      </c>
      <c r="Y9" s="9" t="s">
        <v>40</v>
      </c>
      <c r="Z9" s="9" t="s">
        <v>41</v>
      </c>
      <c r="AA9" s="9" t="s">
        <v>42</v>
      </c>
      <c r="AB9" s="9"/>
      <c r="AC9" s="9"/>
    </row>
    <row r="10" spans="1:29" ht="22.5" customHeight="1">
      <c r="A10" s="9" t="s">
        <v>29</v>
      </c>
      <c r="B10" s="9" t="s">
        <v>65</v>
      </c>
      <c r="C10" s="9"/>
      <c r="D10" s="9" t="s">
        <v>31</v>
      </c>
      <c r="E10" s="9" t="s">
        <v>44</v>
      </c>
      <c r="F10" s="9" t="s">
        <v>33</v>
      </c>
      <c r="G10" s="9" t="s">
        <v>34</v>
      </c>
      <c r="H10" s="10" t="s">
        <v>66</v>
      </c>
      <c r="I10" s="9"/>
      <c r="J10" s="9" t="s">
        <v>49</v>
      </c>
      <c r="K10" s="9"/>
      <c r="L10" s="9"/>
      <c r="M10" s="10" t="s">
        <v>67</v>
      </c>
      <c r="N10" s="10" t="str">
        <f>IFERROR(VLOOKUP(M10,[1]DESC!A:B,2,FALSE),"")</f>
        <v/>
      </c>
      <c r="O10" s="9"/>
      <c r="P10" s="9"/>
      <c r="Q10" s="9"/>
      <c r="R10" s="9"/>
      <c r="S10" s="9"/>
      <c r="T10" s="11"/>
      <c r="U10" s="12" t="s">
        <v>57</v>
      </c>
      <c r="V10" s="12" t="s">
        <v>47</v>
      </c>
      <c r="W10" s="9">
        <v>10</v>
      </c>
      <c r="X10" s="9" t="s">
        <v>39</v>
      </c>
      <c r="Y10" s="9" t="s">
        <v>40</v>
      </c>
      <c r="Z10" s="9" t="s">
        <v>41</v>
      </c>
      <c r="AA10" s="9" t="s">
        <v>42</v>
      </c>
      <c r="AB10" s="9"/>
      <c r="AC10" s="9"/>
    </row>
    <row r="11" spans="1:29" ht="22.5" customHeight="1">
      <c r="A11" s="9" t="s">
        <v>29</v>
      </c>
      <c r="B11" s="9" t="s">
        <v>65</v>
      </c>
      <c r="C11" s="9"/>
      <c r="D11" s="9" t="s">
        <v>31</v>
      </c>
      <c r="E11" s="9" t="s">
        <v>44</v>
      </c>
      <c r="F11" s="9" t="s">
        <v>33</v>
      </c>
      <c r="G11" s="9" t="s">
        <v>34</v>
      </c>
      <c r="H11" s="10" t="s">
        <v>68</v>
      </c>
      <c r="I11" s="9"/>
      <c r="J11" s="9" t="s">
        <v>49</v>
      </c>
      <c r="K11" s="9"/>
      <c r="L11" s="9"/>
      <c r="M11" s="10" t="s">
        <v>67</v>
      </c>
      <c r="N11" s="10" t="str">
        <f>IFERROR(VLOOKUP(M11,[1]DESC!A:B,2,FALSE),"")</f>
        <v/>
      </c>
      <c r="O11" s="9"/>
      <c r="P11" s="9"/>
      <c r="Q11" s="9"/>
      <c r="R11" s="9"/>
      <c r="S11" s="9"/>
      <c r="T11" s="11"/>
      <c r="U11" s="12" t="s">
        <v>57</v>
      </c>
      <c r="V11" s="12" t="s">
        <v>47</v>
      </c>
      <c r="W11" s="9">
        <v>10</v>
      </c>
      <c r="X11" s="9" t="s">
        <v>39</v>
      </c>
      <c r="Y11" s="9" t="s">
        <v>40</v>
      </c>
      <c r="Z11" s="9" t="s">
        <v>41</v>
      </c>
      <c r="AA11" s="9" t="s">
        <v>42</v>
      </c>
      <c r="AB11" s="9"/>
      <c r="AC11" s="9"/>
    </row>
    <row r="12" spans="1:29" ht="22.5" customHeight="1">
      <c r="A12" s="9" t="s">
        <v>29</v>
      </c>
      <c r="B12" s="9" t="s">
        <v>65</v>
      </c>
      <c r="C12" s="9"/>
      <c r="D12" s="9" t="s">
        <v>31</v>
      </c>
      <c r="E12" s="9" t="s">
        <v>44</v>
      </c>
      <c r="F12" s="9" t="s">
        <v>33</v>
      </c>
      <c r="G12" s="9" t="s">
        <v>34</v>
      </c>
      <c r="H12" s="10" t="s">
        <v>69</v>
      </c>
      <c r="I12" s="9"/>
      <c r="J12" s="9" t="s">
        <v>49</v>
      </c>
      <c r="K12" s="9"/>
      <c r="L12" s="9"/>
      <c r="M12" s="10" t="s">
        <v>67</v>
      </c>
      <c r="N12" s="10" t="str">
        <f>IFERROR(VLOOKUP(M12,[1]DESC!A:B,2,FALSE),"")</f>
        <v/>
      </c>
      <c r="O12" s="9"/>
      <c r="P12" s="9"/>
      <c r="Q12" s="9"/>
      <c r="R12" s="9"/>
      <c r="S12" s="9"/>
      <c r="T12" s="11"/>
      <c r="U12" s="12" t="s">
        <v>57</v>
      </c>
      <c r="V12" s="12" t="s">
        <v>47</v>
      </c>
      <c r="W12" s="9">
        <v>10</v>
      </c>
      <c r="X12" s="9" t="s">
        <v>39</v>
      </c>
      <c r="Y12" s="9" t="s">
        <v>40</v>
      </c>
      <c r="Z12" s="9" t="s">
        <v>41</v>
      </c>
      <c r="AA12" s="9" t="s">
        <v>42</v>
      </c>
      <c r="AB12" s="9"/>
      <c r="AC12" s="9"/>
    </row>
    <row r="13" spans="1:29" ht="22.5" customHeight="1">
      <c r="A13" s="9" t="s">
        <v>29</v>
      </c>
      <c r="B13" s="9" t="s">
        <v>70</v>
      </c>
      <c r="C13" s="9"/>
      <c r="D13" s="9" t="s">
        <v>31</v>
      </c>
      <c r="E13" s="9" t="s">
        <v>44</v>
      </c>
      <c r="F13" s="9" t="s">
        <v>33</v>
      </c>
      <c r="G13" s="9" t="s">
        <v>34</v>
      </c>
      <c r="H13" s="10" t="s">
        <v>69</v>
      </c>
      <c r="I13" s="9"/>
      <c r="J13" s="9" t="s">
        <v>49</v>
      </c>
      <c r="K13" s="9"/>
      <c r="L13" s="9"/>
      <c r="M13" s="10" t="s">
        <v>71</v>
      </c>
      <c r="N13" s="10" t="str">
        <f>IFERROR(VLOOKUP(M13,[1]DESC!A:B,2,FALSE),"")</f>
        <v/>
      </c>
      <c r="O13" s="9"/>
      <c r="P13" s="9"/>
      <c r="Q13" s="9"/>
      <c r="R13" s="9"/>
      <c r="S13" s="9"/>
      <c r="T13" s="11"/>
      <c r="U13" s="12" t="s">
        <v>57</v>
      </c>
      <c r="V13" s="12" t="s">
        <v>47</v>
      </c>
      <c r="W13" s="9">
        <v>10</v>
      </c>
      <c r="X13" s="9" t="s">
        <v>39</v>
      </c>
      <c r="Y13" s="9" t="s">
        <v>40</v>
      </c>
      <c r="Z13" s="9" t="s">
        <v>41</v>
      </c>
      <c r="AA13" s="9" t="s">
        <v>42</v>
      </c>
      <c r="AB13" s="9"/>
      <c r="AC13" s="9"/>
    </row>
    <row r="14" spans="1:29" ht="22.5" customHeight="1">
      <c r="A14" s="9" t="s">
        <v>29</v>
      </c>
      <c r="B14" s="9" t="s">
        <v>70</v>
      </c>
      <c r="C14" s="9"/>
      <c r="D14" s="9" t="s">
        <v>31</v>
      </c>
      <c r="E14" s="9" t="s">
        <v>44</v>
      </c>
      <c r="F14" s="9" t="s">
        <v>33</v>
      </c>
      <c r="G14" s="9" t="s">
        <v>34</v>
      </c>
      <c r="H14" s="10" t="s">
        <v>72</v>
      </c>
      <c r="I14" s="9"/>
      <c r="J14" s="9" t="s">
        <v>49</v>
      </c>
      <c r="K14" s="9"/>
      <c r="L14" s="9"/>
      <c r="M14" s="10" t="s">
        <v>71</v>
      </c>
      <c r="N14" s="10" t="str">
        <f>IFERROR(VLOOKUP(M14,[1]DESC!A:B,2,FALSE),"")</f>
        <v/>
      </c>
      <c r="O14" s="9"/>
      <c r="P14" s="9"/>
      <c r="Q14" s="9"/>
      <c r="R14" s="9"/>
      <c r="S14" s="9"/>
      <c r="T14" s="11"/>
      <c r="U14" s="12" t="s">
        <v>57</v>
      </c>
      <c r="V14" s="12" t="s">
        <v>47</v>
      </c>
      <c r="W14" s="9">
        <v>10</v>
      </c>
      <c r="X14" s="9" t="s">
        <v>39</v>
      </c>
      <c r="Y14" s="9" t="s">
        <v>40</v>
      </c>
      <c r="Z14" s="9" t="s">
        <v>41</v>
      </c>
      <c r="AA14" s="9" t="s">
        <v>42</v>
      </c>
      <c r="AB14" s="9"/>
      <c r="AC14" s="9"/>
    </row>
    <row r="15" spans="1:29" ht="22.5" customHeight="1">
      <c r="A15" s="9" t="s">
        <v>73</v>
      </c>
      <c r="B15" s="9" t="s">
        <v>74</v>
      </c>
      <c r="C15" s="9" t="s">
        <v>75</v>
      </c>
      <c r="D15" s="9" t="s">
        <v>76</v>
      </c>
      <c r="E15" s="9"/>
      <c r="F15" s="9"/>
      <c r="G15" s="9">
        <v>1</v>
      </c>
      <c r="H15" s="10"/>
      <c r="I15" s="9"/>
      <c r="J15" s="9" t="s">
        <v>77</v>
      </c>
      <c r="K15" s="13" t="s">
        <v>78</v>
      </c>
      <c r="L15" s="9"/>
      <c r="M15" s="10" t="s">
        <v>79</v>
      </c>
      <c r="N15" s="10" t="s">
        <v>80</v>
      </c>
      <c r="O15" s="9" t="s">
        <v>81</v>
      </c>
      <c r="P15" s="9" t="s">
        <v>82</v>
      </c>
      <c r="Q15" s="9" t="s">
        <v>83</v>
      </c>
      <c r="R15" s="9" t="s">
        <v>84</v>
      </c>
      <c r="S15" s="9" t="s">
        <v>85</v>
      </c>
      <c r="T15" s="11" t="s">
        <v>86</v>
      </c>
      <c r="U15" s="12" t="s">
        <v>87</v>
      </c>
      <c r="V15" s="12" t="s">
        <v>88</v>
      </c>
      <c r="W15" s="9">
        <v>0</v>
      </c>
      <c r="X15" s="9" t="s">
        <v>84</v>
      </c>
      <c r="Y15" s="9" t="s">
        <v>85</v>
      </c>
      <c r="Z15" s="9" t="s">
        <v>86</v>
      </c>
      <c r="AA15" s="9" t="s">
        <v>89</v>
      </c>
      <c r="AB15" s="12" t="s">
        <v>90</v>
      </c>
      <c r="AC15" s="9">
        <v>16</v>
      </c>
    </row>
    <row r="16" spans="1:29" ht="22.5" customHeight="1">
      <c r="A16" s="9" t="s">
        <v>73</v>
      </c>
      <c r="B16" s="9" t="s">
        <v>91</v>
      </c>
      <c r="C16" s="9" t="s">
        <v>75</v>
      </c>
      <c r="D16" s="9" t="s">
        <v>76</v>
      </c>
      <c r="E16" s="9"/>
      <c r="F16" s="9"/>
      <c r="G16" s="9">
        <v>1</v>
      </c>
      <c r="H16" s="10"/>
      <c r="I16" s="9"/>
      <c r="J16" s="9" t="s">
        <v>77</v>
      </c>
      <c r="K16" s="13" t="s">
        <v>78</v>
      </c>
      <c r="L16" s="9"/>
      <c r="M16" s="10" t="s">
        <v>92</v>
      </c>
      <c r="N16" s="10" t="s">
        <v>93</v>
      </c>
      <c r="O16" s="9" t="s">
        <v>81</v>
      </c>
      <c r="P16" s="9" t="s">
        <v>82</v>
      </c>
      <c r="Q16" s="9" t="s">
        <v>83</v>
      </c>
      <c r="R16" s="9" t="s">
        <v>84</v>
      </c>
      <c r="S16" s="9" t="s">
        <v>85</v>
      </c>
      <c r="T16" s="11" t="s">
        <v>86</v>
      </c>
      <c r="U16" s="12" t="s">
        <v>87</v>
      </c>
      <c r="V16" s="12" t="s">
        <v>88</v>
      </c>
      <c r="W16" s="9">
        <v>0</v>
      </c>
      <c r="X16" s="9" t="s">
        <v>84</v>
      </c>
      <c r="Y16" s="9" t="s">
        <v>85</v>
      </c>
      <c r="Z16" s="9" t="s">
        <v>86</v>
      </c>
      <c r="AA16" s="9" t="s">
        <v>89</v>
      </c>
      <c r="AB16" s="12" t="s">
        <v>90</v>
      </c>
      <c r="AC16" s="9">
        <v>17</v>
      </c>
    </row>
    <row r="17" spans="1:29" ht="22.5" customHeight="1">
      <c r="A17" s="9" t="s">
        <v>73</v>
      </c>
      <c r="B17" s="9" t="s">
        <v>94</v>
      </c>
      <c r="C17" s="9" t="s">
        <v>75</v>
      </c>
      <c r="D17" s="9" t="s">
        <v>76</v>
      </c>
      <c r="E17" s="9"/>
      <c r="F17" s="9"/>
      <c r="G17" s="9">
        <v>1</v>
      </c>
      <c r="H17" s="10"/>
      <c r="I17" s="9"/>
      <c r="J17" s="9" t="s">
        <v>77</v>
      </c>
      <c r="K17" s="13" t="s">
        <v>78</v>
      </c>
      <c r="L17" s="9"/>
      <c r="M17" s="10" t="s">
        <v>95</v>
      </c>
      <c r="N17" s="10" t="s">
        <v>96</v>
      </c>
      <c r="O17" s="9" t="s">
        <v>81</v>
      </c>
      <c r="P17" s="9" t="s">
        <v>82</v>
      </c>
      <c r="Q17" s="9" t="s">
        <v>83</v>
      </c>
      <c r="R17" s="9" t="s">
        <v>84</v>
      </c>
      <c r="S17" s="9" t="s">
        <v>85</v>
      </c>
      <c r="T17" s="11" t="s">
        <v>86</v>
      </c>
      <c r="U17" s="12" t="s">
        <v>87</v>
      </c>
      <c r="V17" s="12" t="s">
        <v>88</v>
      </c>
      <c r="W17" s="9">
        <v>0</v>
      </c>
      <c r="X17" s="9" t="s">
        <v>84</v>
      </c>
      <c r="Y17" s="9" t="s">
        <v>85</v>
      </c>
      <c r="Z17" s="9" t="s">
        <v>86</v>
      </c>
      <c r="AA17" s="9" t="s">
        <v>89</v>
      </c>
      <c r="AB17" s="12" t="s">
        <v>90</v>
      </c>
      <c r="AC17" s="9">
        <v>18</v>
      </c>
    </row>
    <row r="18" spans="1:29" ht="22.5" customHeight="1">
      <c r="A18" s="9" t="s">
        <v>73</v>
      </c>
      <c r="B18" s="9" t="s">
        <v>97</v>
      </c>
      <c r="C18" s="9" t="s">
        <v>75</v>
      </c>
      <c r="D18" s="9" t="s">
        <v>76</v>
      </c>
      <c r="E18" s="9"/>
      <c r="F18" s="9"/>
      <c r="G18" s="9">
        <v>1</v>
      </c>
      <c r="H18" s="10"/>
      <c r="I18" s="9"/>
      <c r="J18" s="9" t="s">
        <v>77</v>
      </c>
      <c r="K18" s="13" t="s">
        <v>78</v>
      </c>
      <c r="L18" s="9"/>
      <c r="M18" s="10" t="s">
        <v>98</v>
      </c>
      <c r="N18" s="10" t="s">
        <v>99</v>
      </c>
      <c r="O18" s="9" t="s">
        <v>81</v>
      </c>
      <c r="P18" s="9" t="s">
        <v>82</v>
      </c>
      <c r="Q18" s="9" t="s">
        <v>83</v>
      </c>
      <c r="R18" s="9" t="s">
        <v>84</v>
      </c>
      <c r="S18" s="9" t="s">
        <v>85</v>
      </c>
      <c r="T18" s="11" t="s">
        <v>86</v>
      </c>
      <c r="U18" s="12" t="s">
        <v>87</v>
      </c>
      <c r="V18" s="12" t="s">
        <v>88</v>
      </c>
      <c r="W18" s="9">
        <v>0</v>
      </c>
      <c r="X18" s="9" t="s">
        <v>84</v>
      </c>
      <c r="Y18" s="9" t="s">
        <v>85</v>
      </c>
      <c r="Z18" s="9" t="s">
        <v>86</v>
      </c>
      <c r="AA18" s="9" t="s">
        <v>89</v>
      </c>
      <c r="AB18" s="12" t="s">
        <v>90</v>
      </c>
      <c r="AC18" s="9">
        <v>19</v>
      </c>
    </row>
    <row r="19" spans="1:29" ht="22.5" customHeight="1">
      <c r="A19" s="9" t="s">
        <v>73</v>
      </c>
      <c r="B19" s="9" t="s">
        <v>100</v>
      </c>
      <c r="C19" s="9" t="s">
        <v>75</v>
      </c>
      <c r="D19" s="9" t="s">
        <v>76</v>
      </c>
      <c r="E19" s="9"/>
      <c r="F19" s="9"/>
      <c r="G19" s="9">
        <v>1</v>
      </c>
      <c r="H19" s="10"/>
      <c r="I19" s="9"/>
      <c r="J19" s="9" t="s">
        <v>77</v>
      </c>
      <c r="K19" s="13" t="s">
        <v>78</v>
      </c>
      <c r="L19" s="9"/>
      <c r="M19" s="10" t="s">
        <v>101</v>
      </c>
      <c r="N19" s="10" t="s">
        <v>102</v>
      </c>
      <c r="O19" s="9" t="s">
        <v>81</v>
      </c>
      <c r="P19" s="9" t="s">
        <v>82</v>
      </c>
      <c r="Q19" s="9" t="s">
        <v>83</v>
      </c>
      <c r="R19" s="9" t="s">
        <v>84</v>
      </c>
      <c r="S19" s="9" t="s">
        <v>85</v>
      </c>
      <c r="T19" s="11" t="s">
        <v>86</v>
      </c>
      <c r="U19" s="12" t="s">
        <v>87</v>
      </c>
      <c r="V19" s="12" t="s">
        <v>88</v>
      </c>
      <c r="W19" s="9">
        <v>0</v>
      </c>
      <c r="X19" s="9" t="s">
        <v>84</v>
      </c>
      <c r="Y19" s="9" t="s">
        <v>85</v>
      </c>
      <c r="Z19" s="9" t="s">
        <v>86</v>
      </c>
      <c r="AA19" s="9" t="s">
        <v>89</v>
      </c>
      <c r="AB19" s="12" t="s">
        <v>90</v>
      </c>
      <c r="AC19" s="9">
        <v>20</v>
      </c>
    </row>
    <row r="20" spans="1:29" ht="22.5" customHeight="1">
      <c r="A20" s="9" t="s">
        <v>73</v>
      </c>
      <c r="B20" s="9" t="s">
        <v>103</v>
      </c>
      <c r="C20" s="9" t="s">
        <v>75</v>
      </c>
      <c r="D20" s="9" t="s">
        <v>76</v>
      </c>
      <c r="E20" s="9"/>
      <c r="F20" s="9"/>
      <c r="G20" s="9">
        <v>1</v>
      </c>
      <c r="H20" s="10"/>
      <c r="I20" s="9"/>
      <c r="J20" s="9" t="s">
        <v>77</v>
      </c>
      <c r="K20" s="13" t="s">
        <v>78</v>
      </c>
      <c r="L20" s="9"/>
      <c r="M20" s="10" t="s">
        <v>104</v>
      </c>
      <c r="N20" s="10" t="s">
        <v>105</v>
      </c>
      <c r="O20" s="9" t="s">
        <v>81</v>
      </c>
      <c r="P20" s="9" t="s">
        <v>82</v>
      </c>
      <c r="Q20" s="9" t="s">
        <v>83</v>
      </c>
      <c r="R20" s="9" t="s">
        <v>84</v>
      </c>
      <c r="S20" s="9" t="s">
        <v>85</v>
      </c>
      <c r="T20" s="11" t="s">
        <v>86</v>
      </c>
      <c r="U20" s="12" t="s">
        <v>87</v>
      </c>
      <c r="V20" s="12" t="s">
        <v>88</v>
      </c>
      <c r="W20" s="9">
        <v>0</v>
      </c>
      <c r="X20" s="9" t="s">
        <v>84</v>
      </c>
      <c r="Y20" s="9" t="s">
        <v>85</v>
      </c>
      <c r="Z20" s="9" t="s">
        <v>86</v>
      </c>
      <c r="AA20" s="9" t="s">
        <v>89</v>
      </c>
      <c r="AB20" s="12" t="s">
        <v>90</v>
      </c>
      <c r="AC20" s="9">
        <v>21</v>
      </c>
    </row>
    <row r="21" spans="1:29" ht="22.5" customHeight="1">
      <c r="A21" s="9" t="s">
        <v>73</v>
      </c>
      <c r="B21" s="9" t="s">
        <v>106</v>
      </c>
      <c r="C21" s="9" t="s">
        <v>75</v>
      </c>
      <c r="D21" s="9" t="s">
        <v>76</v>
      </c>
      <c r="E21" s="9"/>
      <c r="F21" s="9"/>
      <c r="G21" s="9">
        <v>1</v>
      </c>
      <c r="H21" s="10"/>
      <c r="I21" s="9"/>
      <c r="J21" s="9" t="s">
        <v>77</v>
      </c>
      <c r="K21" s="13" t="s">
        <v>78</v>
      </c>
      <c r="L21" s="9"/>
      <c r="M21" s="10" t="s">
        <v>107</v>
      </c>
      <c r="N21" s="10" t="s">
        <v>108</v>
      </c>
      <c r="O21" s="9" t="s">
        <v>81</v>
      </c>
      <c r="P21" s="9" t="s">
        <v>82</v>
      </c>
      <c r="Q21" s="9" t="s">
        <v>83</v>
      </c>
      <c r="R21" s="9" t="s">
        <v>84</v>
      </c>
      <c r="S21" s="9" t="s">
        <v>85</v>
      </c>
      <c r="T21" s="11" t="s">
        <v>86</v>
      </c>
      <c r="U21" s="12" t="s">
        <v>87</v>
      </c>
      <c r="V21" s="12" t="s">
        <v>88</v>
      </c>
      <c r="W21" s="9">
        <v>0</v>
      </c>
      <c r="X21" s="9" t="s">
        <v>84</v>
      </c>
      <c r="Y21" s="9" t="s">
        <v>85</v>
      </c>
      <c r="Z21" s="9" t="s">
        <v>86</v>
      </c>
      <c r="AA21" s="9" t="s">
        <v>89</v>
      </c>
      <c r="AB21" s="12" t="s">
        <v>90</v>
      </c>
      <c r="AC21" s="9">
        <v>22</v>
      </c>
    </row>
    <row r="22" spans="1:29" ht="22.5" customHeight="1">
      <c r="A22" s="9" t="s">
        <v>73</v>
      </c>
      <c r="B22" s="9" t="s">
        <v>109</v>
      </c>
      <c r="C22" s="9" t="s">
        <v>75</v>
      </c>
      <c r="D22" s="9" t="s">
        <v>76</v>
      </c>
      <c r="E22" s="9"/>
      <c r="F22" s="9"/>
      <c r="G22" s="9">
        <v>1</v>
      </c>
      <c r="H22" s="10"/>
      <c r="I22" s="9"/>
      <c r="J22" s="9" t="s">
        <v>77</v>
      </c>
      <c r="K22" s="13" t="s">
        <v>78</v>
      </c>
      <c r="L22" s="9"/>
      <c r="M22" s="10" t="s">
        <v>110</v>
      </c>
      <c r="N22" s="10" t="s">
        <v>110</v>
      </c>
      <c r="O22" s="9" t="s">
        <v>81</v>
      </c>
      <c r="P22" s="9" t="s">
        <v>82</v>
      </c>
      <c r="Q22" s="9" t="s">
        <v>83</v>
      </c>
      <c r="R22" s="9" t="s">
        <v>84</v>
      </c>
      <c r="S22" s="9" t="s">
        <v>85</v>
      </c>
      <c r="T22" s="11" t="s">
        <v>86</v>
      </c>
      <c r="U22" s="12" t="s">
        <v>87</v>
      </c>
      <c r="V22" s="12" t="s">
        <v>88</v>
      </c>
      <c r="W22" s="9">
        <v>0</v>
      </c>
      <c r="X22" s="9" t="s">
        <v>39</v>
      </c>
      <c r="Y22" s="9" t="s">
        <v>40</v>
      </c>
      <c r="Z22" s="9" t="s">
        <v>41</v>
      </c>
      <c r="AA22" s="9" t="s">
        <v>42</v>
      </c>
      <c r="AB22" s="12" t="s">
        <v>111</v>
      </c>
      <c r="AC22" s="9">
        <v>2</v>
      </c>
    </row>
    <row r="23" spans="1:29" ht="22.5" customHeight="1">
      <c r="A23" s="9" t="s">
        <v>73</v>
      </c>
      <c r="B23" s="9" t="s">
        <v>112</v>
      </c>
      <c r="C23" s="9" t="s">
        <v>113</v>
      </c>
      <c r="D23" s="9" t="s">
        <v>76</v>
      </c>
      <c r="E23" s="9"/>
      <c r="F23" s="9"/>
      <c r="G23" s="9">
        <v>1</v>
      </c>
      <c r="H23" s="10"/>
      <c r="I23" s="9"/>
      <c r="J23" s="9" t="s">
        <v>77</v>
      </c>
      <c r="K23" s="13" t="s">
        <v>78</v>
      </c>
      <c r="L23" s="9"/>
      <c r="M23" s="10" t="s">
        <v>114</v>
      </c>
      <c r="N23" s="10" t="s">
        <v>115</v>
      </c>
      <c r="O23" s="9" t="s">
        <v>116</v>
      </c>
      <c r="P23" s="9" t="s">
        <v>117</v>
      </c>
      <c r="Q23" s="9" t="s">
        <v>118</v>
      </c>
      <c r="R23" s="9" t="s">
        <v>119</v>
      </c>
      <c r="S23" s="9" t="s">
        <v>120</v>
      </c>
      <c r="T23" s="11" t="s">
        <v>121</v>
      </c>
      <c r="U23" s="12" t="s">
        <v>87</v>
      </c>
      <c r="V23" s="12" t="s">
        <v>88</v>
      </c>
      <c r="W23" s="9">
        <v>0</v>
      </c>
      <c r="X23" s="9" t="s">
        <v>39</v>
      </c>
      <c r="Y23" s="9" t="s">
        <v>40</v>
      </c>
      <c r="Z23" s="9" t="s">
        <v>41</v>
      </c>
      <c r="AA23" s="9" t="s">
        <v>42</v>
      </c>
      <c r="AB23" s="12" t="s">
        <v>90</v>
      </c>
      <c r="AC23" s="9">
        <v>12</v>
      </c>
    </row>
    <row r="24" spans="1:29" ht="22.5" customHeight="1">
      <c r="A24" s="9" t="s">
        <v>73</v>
      </c>
      <c r="B24" s="9" t="s">
        <v>122</v>
      </c>
      <c r="C24" s="9" t="s">
        <v>75</v>
      </c>
      <c r="D24" s="9" t="s">
        <v>76</v>
      </c>
      <c r="E24" s="9"/>
      <c r="F24" s="9"/>
      <c r="G24" s="9">
        <v>1</v>
      </c>
      <c r="H24" s="10"/>
      <c r="I24" s="9"/>
      <c r="J24" s="9" t="s">
        <v>77</v>
      </c>
      <c r="K24" s="13" t="s">
        <v>78</v>
      </c>
      <c r="L24" s="9"/>
      <c r="M24" s="10" t="s">
        <v>123</v>
      </c>
      <c r="N24" s="10" t="s">
        <v>124</v>
      </c>
      <c r="O24" s="9" t="s">
        <v>81</v>
      </c>
      <c r="P24" s="9" t="s">
        <v>82</v>
      </c>
      <c r="Q24" s="9" t="s">
        <v>83</v>
      </c>
      <c r="R24" s="9" t="s">
        <v>84</v>
      </c>
      <c r="S24" s="9" t="s">
        <v>85</v>
      </c>
      <c r="T24" s="11" t="s">
        <v>86</v>
      </c>
      <c r="U24" s="12" t="s">
        <v>87</v>
      </c>
      <c r="V24" s="12" t="s">
        <v>88</v>
      </c>
      <c r="W24" s="9">
        <v>0</v>
      </c>
      <c r="X24" s="9" t="s">
        <v>84</v>
      </c>
      <c r="Y24" s="9" t="s">
        <v>85</v>
      </c>
      <c r="Z24" s="9" t="s">
        <v>86</v>
      </c>
      <c r="AA24" s="9" t="s">
        <v>89</v>
      </c>
      <c r="AB24" s="12" t="s">
        <v>90</v>
      </c>
      <c r="AC24" s="9">
        <v>23</v>
      </c>
    </row>
    <row r="25" spans="1:29" ht="22.5" customHeight="1">
      <c r="A25" s="9" t="s">
        <v>73</v>
      </c>
      <c r="B25" s="9" t="s">
        <v>125</v>
      </c>
      <c r="C25" s="9" t="s">
        <v>75</v>
      </c>
      <c r="D25" s="9" t="s">
        <v>76</v>
      </c>
      <c r="E25" s="9"/>
      <c r="F25" s="9"/>
      <c r="G25" s="9">
        <v>1</v>
      </c>
      <c r="H25" s="10"/>
      <c r="I25" s="9"/>
      <c r="J25" s="9" t="s">
        <v>77</v>
      </c>
      <c r="K25" s="13" t="s">
        <v>78</v>
      </c>
      <c r="L25" s="9"/>
      <c r="M25" s="10" t="s">
        <v>126</v>
      </c>
      <c r="N25" s="10" t="s">
        <v>127</v>
      </c>
      <c r="O25" s="9" t="s">
        <v>81</v>
      </c>
      <c r="P25" s="9" t="s">
        <v>82</v>
      </c>
      <c r="Q25" s="9" t="s">
        <v>83</v>
      </c>
      <c r="R25" s="9" t="s">
        <v>84</v>
      </c>
      <c r="S25" s="9" t="s">
        <v>85</v>
      </c>
      <c r="T25" s="11" t="s">
        <v>86</v>
      </c>
      <c r="U25" s="12" t="s">
        <v>87</v>
      </c>
      <c r="V25" s="12" t="s">
        <v>128</v>
      </c>
      <c r="W25" s="9">
        <v>0</v>
      </c>
      <c r="X25" s="9" t="s">
        <v>129</v>
      </c>
      <c r="Y25" s="9" t="s">
        <v>130</v>
      </c>
      <c r="Z25" s="9" t="s">
        <v>131</v>
      </c>
      <c r="AA25" s="9" t="s">
        <v>132</v>
      </c>
      <c r="AB25" s="12" t="s">
        <v>111</v>
      </c>
      <c r="AC25" s="9">
        <v>3</v>
      </c>
    </row>
    <row r="26" spans="1:29" ht="22.5" customHeight="1">
      <c r="A26" s="9" t="s">
        <v>73</v>
      </c>
      <c r="B26" s="9" t="s">
        <v>133</v>
      </c>
      <c r="C26" s="9" t="s">
        <v>75</v>
      </c>
      <c r="D26" s="9" t="s">
        <v>76</v>
      </c>
      <c r="E26" s="9"/>
      <c r="F26" s="9"/>
      <c r="G26" s="9">
        <v>1</v>
      </c>
      <c r="H26" s="10"/>
      <c r="I26" s="9"/>
      <c r="J26" s="9" t="s">
        <v>134</v>
      </c>
      <c r="K26" s="9"/>
      <c r="L26" s="9"/>
      <c r="M26" s="10" t="s">
        <v>135</v>
      </c>
      <c r="N26" s="10" t="s">
        <v>135</v>
      </c>
      <c r="O26" s="9" t="s">
        <v>81</v>
      </c>
      <c r="P26" s="9" t="s">
        <v>82</v>
      </c>
      <c r="Q26" s="9" t="s">
        <v>83</v>
      </c>
      <c r="R26" s="9" t="s">
        <v>84</v>
      </c>
      <c r="S26" s="9" t="s">
        <v>85</v>
      </c>
      <c r="T26" s="11" t="s">
        <v>86</v>
      </c>
      <c r="U26" s="12" t="s">
        <v>136</v>
      </c>
      <c r="V26" s="12" t="s">
        <v>136</v>
      </c>
      <c r="W26" s="9">
        <v>0</v>
      </c>
      <c r="X26" s="9" t="s">
        <v>84</v>
      </c>
      <c r="Y26" s="9" t="s">
        <v>85</v>
      </c>
      <c r="Z26" s="9" t="s">
        <v>86</v>
      </c>
      <c r="AA26" s="9" t="s">
        <v>89</v>
      </c>
      <c r="AB26" s="12" t="s">
        <v>136</v>
      </c>
      <c r="AC26" s="9">
        <v>63</v>
      </c>
    </row>
    <row r="27" spans="1:29" ht="22.5" customHeight="1">
      <c r="A27" s="9" t="s">
        <v>73</v>
      </c>
      <c r="B27" s="9" t="s">
        <v>137</v>
      </c>
      <c r="C27" s="9" t="s">
        <v>75</v>
      </c>
      <c r="D27" s="9" t="s">
        <v>76</v>
      </c>
      <c r="E27" s="9"/>
      <c r="F27" s="9"/>
      <c r="G27" s="9">
        <v>1</v>
      </c>
      <c r="H27" s="10"/>
      <c r="I27" s="9"/>
      <c r="J27" s="9" t="s">
        <v>134</v>
      </c>
      <c r="K27" s="9"/>
      <c r="L27" s="9"/>
      <c r="M27" s="10" t="s">
        <v>138</v>
      </c>
      <c r="N27" s="10" t="s">
        <v>135</v>
      </c>
      <c r="O27" s="9" t="s">
        <v>81</v>
      </c>
      <c r="P27" s="9" t="s">
        <v>82</v>
      </c>
      <c r="Q27" s="9" t="s">
        <v>83</v>
      </c>
      <c r="R27" s="9" t="s">
        <v>84</v>
      </c>
      <c r="S27" s="9" t="s">
        <v>85</v>
      </c>
      <c r="T27" s="11" t="s">
        <v>86</v>
      </c>
      <c r="U27" s="12" t="s">
        <v>139</v>
      </c>
      <c r="V27" s="12" t="s">
        <v>136</v>
      </c>
      <c r="W27" s="9">
        <v>0</v>
      </c>
      <c r="X27" s="9" t="s">
        <v>84</v>
      </c>
      <c r="Y27" s="9" t="s">
        <v>85</v>
      </c>
      <c r="Z27" s="9" t="s">
        <v>86</v>
      </c>
      <c r="AA27" s="9" t="s">
        <v>89</v>
      </c>
      <c r="AB27" s="12" t="s">
        <v>136</v>
      </c>
      <c r="AC27" s="9">
        <v>41</v>
      </c>
    </row>
    <row r="28" spans="1:29" ht="22.5" customHeight="1">
      <c r="A28" s="9" t="s">
        <v>73</v>
      </c>
      <c r="B28" s="9" t="s">
        <v>140</v>
      </c>
      <c r="C28" s="9" t="s">
        <v>75</v>
      </c>
      <c r="D28" s="9" t="s">
        <v>76</v>
      </c>
      <c r="E28" s="9"/>
      <c r="F28" s="9"/>
      <c r="G28" s="9">
        <v>1</v>
      </c>
      <c r="H28" s="10"/>
      <c r="I28" s="9"/>
      <c r="J28" s="9" t="s">
        <v>77</v>
      </c>
      <c r="K28" s="13" t="s">
        <v>78</v>
      </c>
      <c r="L28" s="9"/>
      <c r="M28" s="10" t="s">
        <v>123</v>
      </c>
      <c r="N28" s="10" t="s">
        <v>124</v>
      </c>
      <c r="O28" s="9" t="s">
        <v>81</v>
      </c>
      <c r="P28" s="9" t="s">
        <v>82</v>
      </c>
      <c r="Q28" s="9" t="s">
        <v>83</v>
      </c>
      <c r="R28" s="9" t="s">
        <v>84</v>
      </c>
      <c r="S28" s="9" t="s">
        <v>85</v>
      </c>
      <c r="T28" s="11" t="s">
        <v>86</v>
      </c>
      <c r="U28" s="12" t="s">
        <v>87</v>
      </c>
      <c r="V28" s="12" t="s">
        <v>88</v>
      </c>
      <c r="W28" s="9">
        <v>0</v>
      </c>
      <c r="X28" s="9" t="s">
        <v>84</v>
      </c>
      <c r="Y28" s="9" t="s">
        <v>85</v>
      </c>
      <c r="Z28" s="9" t="s">
        <v>86</v>
      </c>
      <c r="AA28" s="9" t="s">
        <v>89</v>
      </c>
      <c r="AB28" s="12" t="s">
        <v>90</v>
      </c>
      <c r="AC28" s="9">
        <v>24</v>
      </c>
    </row>
    <row r="29" spans="1:29" ht="22.5" customHeight="1">
      <c r="A29" s="9" t="s">
        <v>141</v>
      </c>
      <c r="B29" s="9" t="s">
        <v>142</v>
      </c>
      <c r="C29" s="9" t="s">
        <v>113</v>
      </c>
      <c r="D29" s="9" t="s">
        <v>76</v>
      </c>
      <c r="E29" s="9" t="s">
        <v>32</v>
      </c>
      <c r="F29" s="9" t="s">
        <v>33</v>
      </c>
      <c r="G29" s="9">
        <v>2</v>
      </c>
      <c r="H29" s="10"/>
      <c r="I29" s="9" t="s">
        <v>143</v>
      </c>
      <c r="J29" s="9" t="s">
        <v>144</v>
      </c>
      <c r="K29" s="9"/>
      <c r="L29" s="9"/>
      <c r="M29" s="10" t="s">
        <v>145</v>
      </c>
      <c r="N29" s="10" t="str">
        <f>IFERROR(VLOOKUP(M29,[1]DESC!A:B,2,FALSE),"")</f>
        <v>Rappresenta l’insieme delle componenti patrimoniali di qualità più pregiata</v>
      </c>
      <c r="O29" s="9" t="s">
        <v>116</v>
      </c>
      <c r="P29" s="9" t="s">
        <v>117</v>
      </c>
      <c r="Q29" s="9" t="s">
        <v>118</v>
      </c>
      <c r="R29" s="9" t="s">
        <v>146</v>
      </c>
      <c r="S29" s="9" t="s">
        <v>147</v>
      </c>
      <c r="T29" s="11" t="s">
        <v>148</v>
      </c>
      <c r="U29" s="12" t="s">
        <v>149</v>
      </c>
      <c r="V29" s="12" t="s">
        <v>150</v>
      </c>
      <c r="W29" s="9">
        <v>0</v>
      </c>
      <c r="X29" s="9" t="s">
        <v>146</v>
      </c>
      <c r="Y29" s="9" t="s">
        <v>147</v>
      </c>
      <c r="Z29" s="9" t="s">
        <v>148</v>
      </c>
      <c r="AA29" s="9" t="s">
        <v>151</v>
      </c>
      <c r="AB29" s="12" t="s">
        <v>136</v>
      </c>
      <c r="AC29" s="9">
        <v>69</v>
      </c>
    </row>
    <row r="30" spans="1:29" ht="22.5" customHeight="1">
      <c r="A30" s="9" t="s">
        <v>141</v>
      </c>
      <c r="B30" s="9" t="s">
        <v>142</v>
      </c>
      <c r="C30" s="9" t="s">
        <v>113</v>
      </c>
      <c r="D30" s="9" t="s">
        <v>76</v>
      </c>
      <c r="E30" s="9" t="s">
        <v>32</v>
      </c>
      <c r="F30" s="9" t="s">
        <v>33</v>
      </c>
      <c r="G30" s="9">
        <v>2</v>
      </c>
      <c r="H30" s="10"/>
      <c r="I30" s="9" t="s">
        <v>152</v>
      </c>
      <c r="J30" s="9" t="s">
        <v>144</v>
      </c>
      <c r="K30" s="9"/>
      <c r="L30" s="9"/>
      <c r="M30" s="10" t="s">
        <v>145</v>
      </c>
      <c r="N30" s="10" t="str">
        <f>IFERROR(VLOOKUP(M30,[1]DESC!A:B,2,FALSE),"")</f>
        <v>Rappresenta l’insieme delle componenti patrimoniali di qualità più pregiata</v>
      </c>
      <c r="O30" s="9" t="s">
        <v>116</v>
      </c>
      <c r="P30" s="9" t="s">
        <v>117</v>
      </c>
      <c r="Q30" s="9" t="s">
        <v>118</v>
      </c>
      <c r="R30" s="9" t="s">
        <v>146</v>
      </c>
      <c r="S30" s="9" t="s">
        <v>147</v>
      </c>
      <c r="T30" s="11" t="s">
        <v>148</v>
      </c>
      <c r="U30" s="12" t="s">
        <v>149</v>
      </c>
      <c r="V30" s="12" t="s">
        <v>150</v>
      </c>
      <c r="W30" s="9">
        <v>0</v>
      </c>
      <c r="X30" s="9" t="s">
        <v>146</v>
      </c>
      <c r="Y30" s="9" t="s">
        <v>147</v>
      </c>
      <c r="Z30" s="9" t="s">
        <v>148</v>
      </c>
      <c r="AA30" s="9" t="s">
        <v>151</v>
      </c>
      <c r="AB30" s="12" t="s">
        <v>136</v>
      </c>
      <c r="AC30" s="9">
        <v>69</v>
      </c>
    </row>
    <row r="31" spans="1:29" ht="22.5" customHeight="1">
      <c r="A31" s="9" t="s">
        <v>141</v>
      </c>
      <c r="B31" s="9" t="s">
        <v>142</v>
      </c>
      <c r="C31" s="9" t="s">
        <v>113</v>
      </c>
      <c r="D31" s="9" t="s">
        <v>76</v>
      </c>
      <c r="E31" s="9" t="s">
        <v>32</v>
      </c>
      <c r="F31" s="9" t="s">
        <v>33</v>
      </c>
      <c r="G31" s="9">
        <v>2</v>
      </c>
      <c r="H31" s="10"/>
      <c r="I31" s="9" t="s">
        <v>153</v>
      </c>
      <c r="J31" s="9" t="s">
        <v>144</v>
      </c>
      <c r="K31" s="9"/>
      <c r="L31" s="9"/>
      <c r="M31" s="10" t="s">
        <v>145</v>
      </c>
      <c r="N31" s="10" t="str">
        <f>IFERROR(VLOOKUP(M31,[1]DESC!A:B,2,FALSE),"")</f>
        <v>Rappresenta l’insieme delle componenti patrimoniali di qualità più pregiata</v>
      </c>
      <c r="O31" s="9" t="s">
        <v>116</v>
      </c>
      <c r="P31" s="9" t="s">
        <v>117</v>
      </c>
      <c r="Q31" s="9" t="s">
        <v>118</v>
      </c>
      <c r="R31" s="9" t="s">
        <v>146</v>
      </c>
      <c r="S31" s="9" t="s">
        <v>147</v>
      </c>
      <c r="T31" s="11" t="s">
        <v>148</v>
      </c>
      <c r="U31" s="12" t="s">
        <v>149</v>
      </c>
      <c r="V31" s="12" t="s">
        <v>150</v>
      </c>
      <c r="W31" s="9">
        <v>0</v>
      </c>
      <c r="X31" s="9" t="s">
        <v>146</v>
      </c>
      <c r="Y31" s="9" t="s">
        <v>147</v>
      </c>
      <c r="Z31" s="9" t="s">
        <v>148</v>
      </c>
      <c r="AA31" s="9" t="s">
        <v>151</v>
      </c>
      <c r="AB31" s="12" t="s">
        <v>136</v>
      </c>
      <c r="AC31" s="9">
        <v>69</v>
      </c>
    </row>
    <row r="32" spans="1:29" ht="22.5" customHeight="1">
      <c r="A32" s="9" t="s">
        <v>141</v>
      </c>
      <c r="B32" s="9" t="s">
        <v>154</v>
      </c>
      <c r="C32" s="9" t="s">
        <v>113</v>
      </c>
      <c r="D32" s="9" t="s">
        <v>76</v>
      </c>
      <c r="E32" s="9"/>
      <c r="F32" s="9"/>
      <c r="G32" s="9">
        <v>2</v>
      </c>
      <c r="H32" s="10"/>
      <c r="I32" s="9" t="s">
        <v>143</v>
      </c>
      <c r="J32" s="9" t="s">
        <v>144</v>
      </c>
      <c r="K32" s="9"/>
      <c r="L32" s="9"/>
      <c r="M32" s="10" t="s">
        <v>155</v>
      </c>
      <c r="N32" s="10" t="str">
        <f>IFERROR(VLOOKUP(M32,[1]DESC!A:B,2,FALSE),"")</f>
        <v>Rappresentato dai prestiti subordinati</v>
      </c>
      <c r="O32" s="9" t="s">
        <v>116</v>
      </c>
      <c r="P32" s="9" t="s">
        <v>117</v>
      </c>
      <c r="Q32" s="9" t="s">
        <v>118</v>
      </c>
      <c r="R32" s="9" t="s">
        <v>146</v>
      </c>
      <c r="S32" s="9" t="s">
        <v>147</v>
      </c>
      <c r="T32" s="11" t="s">
        <v>148</v>
      </c>
      <c r="U32" s="12" t="s">
        <v>156</v>
      </c>
      <c r="V32" s="12" t="s">
        <v>150</v>
      </c>
      <c r="W32" s="9">
        <v>0</v>
      </c>
      <c r="X32" s="9" t="s">
        <v>146</v>
      </c>
      <c r="Y32" s="9" t="s">
        <v>147</v>
      </c>
      <c r="Z32" s="9" t="s">
        <v>148</v>
      </c>
      <c r="AA32" s="9" t="s">
        <v>151</v>
      </c>
      <c r="AB32" s="12" t="s">
        <v>136</v>
      </c>
      <c r="AC32" s="9">
        <v>68</v>
      </c>
    </row>
    <row r="33" spans="1:29" ht="22.5" customHeight="1">
      <c r="A33" s="9" t="s">
        <v>29</v>
      </c>
      <c r="B33" s="9" t="s">
        <v>157</v>
      </c>
      <c r="C33" s="9"/>
      <c r="D33" s="9" t="s">
        <v>31</v>
      </c>
      <c r="E33" s="9"/>
      <c r="F33" s="9" t="s">
        <v>33</v>
      </c>
      <c r="G33" s="9" t="s">
        <v>34</v>
      </c>
      <c r="H33" s="10"/>
      <c r="I33" s="9"/>
      <c r="J33" s="9" t="s">
        <v>49</v>
      </c>
      <c r="K33" s="9"/>
      <c r="L33" s="9"/>
      <c r="M33" s="10" t="s">
        <v>158</v>
      </c>
      <c r="N33" s="10" t="str">
        <f>IFERROR(VLOOKUP(M33,[1]DESC!A:B,2,FALSE),"")</f>
        <v/>
      </c>
      <c r="O33" s="9"/>
      <c r="P33" s="9"/>
      <c r="Q33" s="9"/>
      <c r="R33" s="9"/>
      <c r="S33" s="9"/>
      <c r="T33" s="11"/>
      <c r="U33" s="12" t="s">
        <v>37</v>
      </c>
      <c r="V33" s="12" t="s">
        <v>53</v>
      </c>
      <c r="W33" s="9">
        <v>10</v>
      </c>
      <c r="X33" s="9" t="s">
        <v>39</v>
      </c>
      <c r="Y33" s="9" t="s">
        <v>40</v>
      </c>
      <c r="Z33" s="9" t="s">
        <v>41</v>
      </c>
      <c r="AA33" s="9" t="s">
        <v>42</v>
      </c>
      <c r="AB33" s="9"/>
      <c r="AC33" s="9"/>
    </row>
    <row r="34" spans="1:29" ht="22.5" customHeight="1">
      <c r="A34" s="9" t="s">
        <v>141</v>
      </c>
      <c r="B34" s="9" t="s">
        <v>153</v>
      </c>
      <c r="C34" s="9" t="s">
        <v>113</v>
      </c>
      <c r="D34" s="9" t="s">
        <v>76</v>
      </c>
      <c r="E34" s="9" t="s">
        <v>44</v>
      </c>
      <c r="F34" s="9" t="s">
        <v>33</v>
      </c>
      <c r="G34" s="9">
        <v>2</v>
      </c>
      <c r="H34" s="10" t="s">
        <v>159</v>
      </c>
      <c r="I34" s="9"/>
      <c r="J34" s="9" t="s">
        <v>35</v>
      </c>
      <c r="K34" s="9"/>
      <c r="L34" s="9"/>
      <c r="M34" s="10" t="s">
        <v>160</v>
      </c>
      <c r="N34" s="10" t="str">
        <f>IFERROR(VLOOKUP(M34,[1]DESC!A:B,2,FALSE),"")</f>
        <v/>
      </c>
      <c r="O34" s="9" t="s">
        <v>116</v>
      </c>
      <c r="P34" s="9" t="s">
        <v>117</v>
      </c>
      <c r="Q34" s="9" t="s">
        <v>118</v>
      </c>
      <c r="R34" s="9" t="s">
        <v>146</v>
      </c>
      <c r="S34" s="9" t="s">
        <v>147</v>
      </c>
      <c r="T34" s="11" t="s">
        <v>148</v>
      </c>
      <c r="U34" s="12" t="s">
        <v>57</v>
      </c>
      <c r="V34" s="12" t="s">
        <v>136</v>
      </c>
      <c r="W34" s="9">
        <v>0</v>
      </c>
      <c r="X34" s="9" t="s">
        <v>39</v>
      </c>
      <c r="Y34" s="9" t="s">
        <v>40</v>
      </c>
      <c r="Z34" s="9" t="s">
        <v>41</v>
      </c>
      <c r="AA34" s="9" t="s">
        <v>42</v>
      </c>
      <c r="AB34" s="12" t="s">
        <v>161</v>
      </c>
      <c r="AC34" s="9">
        <v>35</v>
      </c>
    </row>
    <row r="35" spans="1:29" ht="22.5" customHeight="1">
      <c r="A35" s="9" t="s">
        <v>141</v>
      </c>
      <c r="B35" s="9" t="s">
        <v>153</v>
      </c>
      <c r="C35" s="9" t="s">
        <v>113</v>
      </c>
      <c r="D35" s="9" t="s">
        <v>76</v>
      </c>
      <c r="E35" s="9" t="s">
        <v>44</v>
      </c>
      <c r="F35" s="9" t="s">
        <v>33</v>
      </c>
      <c r="G35" s="9">
        <v>2</v>
      </c>
      <c r="H35" s="10" t="s">
        <v>142</v>
      </c>
      <c r="I35" s="9"/>
      <c r="J35" s="9" t="s">
        <v>35</v>
      </c>
      <c r="K35" s="9"/>
      <c r="L35" s="9"/>
      <c r="M35" s="10" t="s">
        <v>160</v>
      </c>
      <c r="N35" s="10" t="str">
        <f>IFERROR(VLOOKUP(M35,[1]DESC!A:B,2,FALSE),"")</f>
        <v/>
      </c>
      <c r="O35" s="9" t="s">
        <v>116</v>
      </c>
      <c r="P35" s="9" t="s">
        <v>117</v>
      </c>
      <c r="Q35" s="9" t="s">
        <v>118</v>
      </c>
      <c r="R35" s="9" t="s">
        <v>146</v>
      </c>
      <c r="S35" s="9" t="s">
        <v>147</v>
      </c>
      <c r="T35" s="11" t="s">
        <v>148</v>
      </c>
      <c r="U35" s="12" t="s">
        <v>57</v>
      </c>
      <c r="V35" s="12" t="s">
        <v>136</v>
      </c>
      <c r="W35" s="9">
        <v>0</v>
      </c>
      <c r="X35" s="9" t="s">
        <v>39</v>
      </c>
      <c r="Y35" s="9" t="s">
        <v>40</v>
      </c>
      <c r="Z35" s="9" t="s">
        <v>41</v>
      </c>
      <c r="AA35" s="9" t="s">
        <v>42</v>
      </c>
      <c r="AB35" s="12" t="s">
        <v>161</v>
      </c>
      <c r="AC35" s="9">
        <v>35</v>
      </c>
    </row>
    <row r="36" spans="1:29" ht="22.5" customHeight="1">
      <c r="A36" s="9" t="s">
        <v>29</v>
      </c>
      <c r="B36" s="9" t="s">
        <v>162</v>
      </c>
      <c r="C36" s="9"/>
      <c r="D36" s="9" t="s">
        <v>31</v>
      </c>
      <c r="E36" s="9" t="s">
        <v>44</v>
      </c>
      <c r="F36" s="9" t="s">
        <v>33</v>
      </c>
      <c r="G36" s="9" t="s">
        <v>34</v>
      </c>
      <c r="H36" s="10" t="s">
        <v>163</v>
      </c>
      <c r="I36" s="9"/>
      <c r="J36" s="9" t="s">
        <v>49</v>
      </c>
      <c r="K36" s="9"/>
      <c r="L36" s="9"/>
      <c r="M36" s="10" t="s">
        <v>164</v>
      </c>
      <c r="N36" s="10" t="str">
        <f>IFERROR(VLOOKUP(M36,[1]DESC!A:B,2,FALSE),"")</f>
        <v/>
      </c>
      <c r="O36" s="9"/>
      <c r="P36" s="9"/>
      <c r="Q36" s="9"/>
      <c r="R36" s="9"/>
      <c r="S36" s="9"/>
      <c r="T36" s="11"/>
      <c r="U36" s="12" t="s">
        <v>57</v>
      </c>
      <c r="V36" s="12" t="s">
        <v>47</v>
      </c>
      <c r="W36" s="9">
        <v>10</v>
      </c>
      <c r="X36" s="9" t="s">
        <v>39</v>
      </c>
      <c r="Y36" s="9" t="s">
        <v>40</v>
      </c>
      <c r="Z36" s="9" t="s">
        <v>41</v>
      </c>
      <c r="AA36" s="9" t="s">
        <v>42</v>
      </c>
      <c r="AB36" s="9"/>
      <c r="AC36" s="9"/>
    </row>
    <row r="37" spans="1:29" ht="22.5" customHeight="1">
      <c r="A37" s="9" t="s">
        <v>29</v>
      </c>
      <c r="B37" s="9" t="s">
        <v>162</v>
      </c>
      <c r="C37" s="9"/>
      <c r="D37" s="9" t="s">
        <v>31</v>
      </c>
      <c r="E37" s="9" t="s">
        <v>44</v>
      </c>
      <c r="F37" s="9" t="s">
        <v>33</v>
      </c>
      <c r="G37" s="9" t="s">
        <v>34</v>
      </c>
      <c r="H37" s="10" t="s">
        <v>165</v>
      </c>
      <c r="I37" s="9"/>
      <c r="J37" s="9" t="s">
        <v>49</v>
      </c>
      <c r="K37" s="9"/>
      <c r="L37" s="9"/>
      <c r="M37" s="10" t="s">
        <v>164</v>
      </c>
      <c r="N37" s="10" t="str">
        <f>IFERROR(VLOOKUP(M37,[1]DESC!A:B,2,FALSE),"")</f>
        <v/>
      </c>
      <c r="O37" s="9"/>
      <c r="P37" s="9"/>
      <c r="Q37" s="9"/>
      <c r="R37" s="9"/>
      <c r="S37" s="9"/>
      <c r="T37" s="11"/>
      <c r="U37" s="12" t="s">
        <v>57</v>
      </c>
      <c r="V37" s="12" t="s">
        <v>47</v>
      </c>
      <c r="W37" s="9">
        <v>10</v>
      </c>
      <c r="X37" s="9" t="s">
        <v>39</v>
      </c>
      <c r="Y37" s="9" t="s">
        <v>40</v>
      </c>
      <c r="Z37" s="9" t="s">
        <v>41</v>
      </c>
      <c r="AA37" s="9" t="s">
        <v>42</v>
      </c>
      <c r="AB37" s="9"/>
      <c r="AC37" s="9"/>
    </row>
    <row r="38" spans="1:29" ht="22.5" customHeight="1">
      <c r="A38" s="9" t="s">
        <v>29</v>
      </c>
      <c r="B38" s="9" t="s">
        <v>166</v>
      </c>
      <c r="C38" s="9"/>
      <c r="D38" s="9" t="s">
        <v>31</v>
      </c>
      <c r="E38" s="9" t="s">
        <v>167</v>
      </c>
      <c r="F38" s="9" t="s">
        <v>33</v>
      </c>
      <c r="G38" s="9" t="s">
        <v>34</v>
      </c>
      <c r="H38" s="10"/>
      <c r="I38" s="9" t="s">
        <v>168</v>
      </c>
      <c r="J38" s="9" t="s">
        <v>144</v>
      </c>
      <c r="K38" s="9"/>
      <c r="L38" s="9"/>
      <c r="M38" s="10" t="s">
        <v>169</v>
      </c>
      <c r="N38" s="10" t="str">
        <f>IFERROR(VLOOKUP(M38,[1]DESC!A:B,2,FALSE),"")</f>
        <v/>
      </c>
      <c r="O38" s="9"/>
      <c r="P38" s="9"/>
      <c r="Q38" s="9"/>
      <c r="R38" s="9"/>
      <c r="S38" s="9"/>
      <c r="T38" s="11"/>
      <c r="U38" s="12" t="s">
        <v>149</v>
      </c>
      <c r="V38" s="12" t="s">
        <v>170</v>
      </c>
      <c r="W38" s="9">
        <v>10</v>
      </c>
      <c r="X38" s="9" t="s">
        <v>39</v>
      </c>
      <c r="Y38" s="9" t="s">
        <v>40</v>
      </c>
      <c r="Z38" s="9" t="s">
        <v>41</v>
      </c>
      <c r="AA38" s="9" t="s">
        <v>42</v>
      </c>
      <c r="AB38" s="9"/>
      <c r="AC38" s="9"/>
    </row>
    <row r="39" spans="1:29" ht="22.5" customHeight="1">
      <c r="A39" s="9" t="s">
        <v>29</v>
      </c>
      <c r="B39" s="9" t="s">
        <v>166</v>
      </c>
      <c r="C39" s="9"/>
      <c r="D39" s="9" t="s">
        <v>31</v>
      </c>
      <c r="E39" s="9" t="s">
        <v>167</v>
      </c>
      <c r="F39" s="9" t="s">
        <v>33</v>
      </c>
      <c r="G39" s="9" t="s">
        <v>34</v>
      </c>
      <c r="H39" s="10"/>
      <c r="I39" s="9" t="s">
        <v>171</v>
      </c>
      <c r="J39" s="9" t="s">
        <v>144</v>
      </c>
      <c r="K39" s="9"/>
      <c r="L39" s="9"/>
      <c r="M39" s="10" t="s">
        <v>169</v>
      </c>
      <c r="N39" s="10" t="str">
        <f>IFERROR(VLOOKUP(M39,[1]DESC!A:B,2,FALSE),"")</f>
        <v/>
      </c>
      <c r="O39" s="9"/>
      <c r="P39" s="9"/>
      <c r="Q39" s="9"/>
      <c r="R39" s="9"/>
      <c r="S39" s="9"/>
      <c r="T39" s="11"/>
      <c r="U39" s="12" t="s">
        <v>149</v>
      </c>
      <c r="V39" s="12" t="s">
        <v>170</v>
      </c>
      <c r="W39" s="9">
        <v>10</v>
      </c>
      <c r="X39" s="9" t="s">
        <v>39</v>
      </c>
      <c r="Y39" s="9" t="s">
        <v>40</v>
      </c>
      <c r="Z39" s="9" t="s">
        <v>41</v>
      </c>
      <c r="AA39" s="9" t="s">
        <v>42</v>
      </c>
      <c r="AB39" s="9"/>
      <c r="AC39" s="9"/>
    </row>
    <row r="40" spans="1:29" ht="22.5" customHeight="1">
      <c r="A40" s="9" t="s">
        <v>29</v>
      </c>
      <c r="B40" s="9" t="s">
        <v>172</v>
      </c>
      <c r="C40" s="9"/>
      <c r="D40" s="9" t="s">
        <v>31</v>
      </c>
      <c r="E40" s="9" t="s">
        <v>32</v>
      </c>
      <c r="F40" s="9" t="s">
        <v>33</v>
      </c>
      <c r="G40" s="9" t="s">
        <v>34</v>
      </c>
      <c r="H40" s="10"/>
      <c r="I40" s="9"/>
      <c r="J40" s="9" t="s">
        <v>49</v>
      </c>
      <c r="K40" s="9"/>
      <c r="L40" s="9"/>
      <c r="M40" s="10" t="s">
        <v>173</v>
      </c>
      <c r="N40" s="10" t="str">
        <f>IFERROR(VLOOKUP(M40,[1]DESC!A:B,2,FALSE),"")</f>
        <v/>
      </c>
      <c r="O40" s="9"/>
      <c r="P40" s="9"/>
      <c r="Q40" s="9"/>
      <c r="R40" s="9"/>
      <c r="S40" s="9"/>
      <c r="T40" s="11"/>
      <c r="U40" s="12" t="s">
        <v>37</v>
      </c>
      <c r="V40" s="12" t="s">
        <v>47</v>
      </c>
      <c r="W40" s="9">
        <v>10</v>
      </c>
      <c r="X40" s="9" t="s">
        <v>39</v>
      </c>
      <c r="Y40" s="9" t="s">
        <v>40</v>
      </c>
      <c r="Z40" s="9" t="s">
        <v>41</v>
      </c>
      <c r="AA40" s="9" t="s">
        <v>42</v>
      </c>
      <c r="AB40" s="9"/>
      <c r="AC40" s="9"/>
    </row>
    <row r="41" spans="1:29" ht="22.5" customHeight="1">
      <c r="A41" s="9" t="s">
        <v>29</v>
      </c>
      <c r="B41" s="9" t="s">
        <v>174</v>
      </c>
      <c r="C41" s="9"/>
      <c r="D41" s="9" t="s">
        <v>31</v>
      </c>
      <c r="E41" s="9"/>
      <c r="F41" s="9" t="s">
        <v>33</v>
      </c>
      <c r="G41" s="9" t="s">
        <v>34</v>
      </c>
      <c r="H41" s="10"/>
      <c r="I41" s="9"/>
      <c r="J41" s="9" t="s">
        <v>35</v>
      </c>
      <c r="K41" s="9"/>
      <c r="L41" s="9"/>
      <c r="M41" s="10" t="s">
        <v>175</v>
      </c>
      <c r="N41" s="10" t="str">
        <f>IFERROR(VLOOKUP(M41,[1]DESC!A:B,2,FALSE),"")</f>
        <v/>
      </c>
      <c r="O41" s="9"/>
      <c r="P41" s="9"/>
      <c r="Q41" s="9"/>
      <c r="R41" s="9"/>
      <c r="S41" s="9"/>
      <c r="T41" s="11"/>
      <c r="U41" s="12" t="s">
        <v>57</v>
      </c>
      <c r="V41" s="12" t="s">
        <v>47</v>
      </c>
      <c r="W41" s="9">
        <v>10</v>
      </c>
      <c r="X41" s="9" t="s">
        <v>39</v>
      </c>
      <c r="Y41" s="9" t="s">
        <v>40</v>
      </c>
      <c r="Z41" s="9" t="s">
        <v>41</v>
      </c>
      <c r="AA41" s="9" t="s">
        <v>42</v>
      </c>
      <c r="AB41" s="9"/>
      <c r="AC41" s="9"/>
    </row>
    <row r="42" spans="1:29" ht="22.5" customHeight="1">
      <c r="A42" s="9" t="s">
        <v>29</v>
      </c>
      <c r="B42" s="9" t="s">
        <v>176</v>
      </c>
      <c r="C42" s="9"/>
      <c r="D42" s="9" t="s">
        <v>31</v>
      </c>
      <c r="E42" s="9" t="s">
        <v>44</v>
      </c>
      <c r="F42" s="9" t="s">
        <v>33</v>
      </c>
      <c r="G42" s="9" t="s">
        <v>34</v>
      </c>
      <c r="H42" s="10"/>
      <c r="I42" s="9"/>
      <c r="J42" s="9" t="s">
        <v>35</v>
      </c>
      <c r="K42" s="9"/>
      <c r="L42" s="9"/>
      <c r="M42" s="10" t="s">
        <v>177</v>
      </c>
      <c r="N42" s="10" t="str">
        <f>IFERROR(VLOOKUP(M42,[1]DESC!A:B,2,FALSE),"")</f>
        <v/>
      </c>
      <c r="O42" s="9"/>
      <c r="P42" s="9"/>
      <c r="Q42" s="9"/>
      <c r="R42" s="9"/>
      <c r="S42" s="9"/>
      <c r="T42" s="11"/>
      <c r="U42" s="12" t="s">
        <v>57</v>
      </c>
      <c r="V42" s="12" t="s">
        <v>38</v>
      </c>
      <c r="W42" s="9">
        <v>10</v>
      </c>
      <c r="X42" s="9" t="s">
        <v>39</v>
      </c>
      <c r="Y42" s="9" t="s">
        <v>40</v>
      </c>
      <c r="Z42" s="9" t="s">
        <v>41</v>
      </c>
      <c r="AA42" s="9" t="s">
        <v>42</v>
      </c>
      <c r="AB42" s="9"/>
      <c r="AC42" s="9"/>
    </row>
    <row r="43" spans="1:29" ht="22.5" customHeight="1">
      <c r="A43" s="9" t="s">
        <v>141</v>
      </c>
      <c r="B43" s="9" t="s">
        <v>178</v>
      </c>
      <c r="C43" s="9"/>
      <c r="D43" s="9" t="s">
        <v>31</v>
      </c>
      <c r="E43" s="9"/>
      <c r="F43" s="9"/>
      <c r="G43" s="9" t="s">
        <v>34</v>
      </c>
      <c r="H43" s="10" t="s">
        <v>179</v>
      </c>
      <c r="I43" s="9" t="s">
        <v>168</v>
      </c>
      <c r="J43" s="9" t="s">
        <v>180</v>
      </c>
      <c r="K43" s="9"/>
      <c r="L43" s="9"/>
      <c r="M43" s="10" t="s">
        <v>181</v>
      </c>
      <c r="N43" s="10" t="str">
        <f>IFERROR(VLOOKUP(M43,[1]DESC!A:B,2,FALSE),"")</f>
        <v/>
      </c>
      <c r="O43" s="9"/>
      <c r="P43" s="9"/>
      <c r="Q43" s="9"/>
      <c r="R43" s="9"/>
      <c r="S43" s="9"/>
      <c r="T43" s="11"/>
      <c r="U43" s="12" t="s">
        <v>170</v>
      </c>
      <c r="V43" s="12" t="s">
        <v>182</v>
      </c>
      <c r="W43" s="9">
        <v>10</v>
      </c>
      <c r="X43" s="9" t="s">
        <v>39</v>
      </c>
      <c r="Y43" s="9" t="s">
        <v>40</v>
      </c>
      <c r="Z43" s="9" t="s">
        <v>41</v>
      </c>
      <c r="AA43" s="9" t="s">
        <v>42</v>
      </c>
      <c r="AB43" s="9"/>
      <c r="AC43" s="9"/>
    </row>
    <row r="44" spans="1:29" ht="22.5" customHeight="1">
      <c r="A44" s="9" t="s">
        <v>141</v>
      </c>
      <c r="B44" s="9" t="s">
        <v>178</v>
      </c>
      <c r="C44" s="9"/>
      <c r="D44" s="9" t="s">
        <v>31</v>
      </c>
      <c r="E44" s="9"/>
      <c r="F44" s="9"/>
      <c r="G44" s="9" t="s">
        <v>34</v>
      </c>
      <c r="H44" s="10" t="s">
        <v>183</v>
      </c>
      <c r="I44" s="9" t="s">
        <v>184</v>
      </c>
      <c r="J44" s="9" t="s">
        <v>180</v>
      </c>
      <c r="K44" s="9"/>
      <c r="L44" s="9"/>
      <c r="M44" s="10" t="s">
        <v>181</v>
      </c>
      <c r="N44" s="10" t="str">
        <f>IFERROR(VLOOKUP(M44,[1]DESC!A:B,2,FALSE),"")</f>
        <v/>
      </c>
      <c r="O44" s="9"/>
      <c r="P44" s="9"/>
      <c r="Q44" s="9"/>
      <c r="R44" s="9"/>
      <c r="S44" s="9"/>
      <c r="T44" s="11"/>
      <c r="U44" s="12" t="s">
        <v>170</v>
      </c>
      <c r="V44" s="12" t="s">
        <v>182</v>
      </c>
      <c r="W44" s="9">
        <v>10</v>
      </c>
      <c r="X44" s="9" t="s">
        <v>39</v>
      </c>
      <c r="Y44" s="9" t="s">
        <v>40</v>
      </c>
      <c r="Z44" s="9" t="s">
        <v>41</v>
      </c>
      <c r="AA44" s="9" t="s">
        <v>42</v>
      </c>
      <c r="AB44" s="9"/>
      <c r="AC44" s="9"/>
    </row>
    <row r="45" spans="1:29" ht="22.5" customHeight="1">
      <c r="A45" s="9" t="s">
        <v>141</v>
      </c>
      <c r="B45" s="9" t="s">
        <v>178</v>
      </c>
      <c r="C45" s="9"/>
      <c r="D45" s="9" t="s">
        <v>31</v>
      </c>
      <c r="E45" s="9"/>
      <c r="F45" s="9"/>
      <c r="G45" s="9" t="s">
        <v>34</v>
      </c>
      <c r="H45" s="10" t="s">
        <v>185</v>
      </c>
      <c r="I45" s="9" t="s">
        <v>186</v>
      </c>
      <c r="J45" s="9" t="s">
        <v>180</v>
      </c>
      <c r="K45" s="9"/>
      <c r="L45" s="9"/>
      <c r="M45" s="10" t="s">
        <v>181</v>
      </c>
      <c r="N45" s="10" t="str">
        <f>IFERROR(VLOOKUP(M45,[1]DESC!A:B,2,FALSE),"")</f>
        <v/>
      </c>
      <c r="O45" s="9"/>
      <c r="P45" s="9"/>
      <c r="Q45" s="9"/>
      <c r="R45" s="9"/>
      <c r="S45" s="9"/>
      <c r="T45" s="11"/>
      <c r="U45" s="12" t="s">
        <v>170</v>
      </c>
      <c r="V45" s="12" t="s">
        <v>182</v>
      </c>
      <c r="W45" s="9">
        <v>10</v>
      </c>
      <c r="X45" s="9" t="s">
        <v>39</v>
      </c>
      <c r="Y45" s="9" t="s">
        <v>40</v>
      </c>
      <c r="Z45" s="9" t="s">
        <v>41</v>
      </c>
      <c r="AA45" s="9" t="s">
        <v>42</v>
      </c>
      <c r="AB45" s="9"/>
      <c r="AC45" s="9"/>
    </row>
    <row r="46" spans="1:29" ht="22.5" customHeight="1">
      <c r="A46" s="9" t="s">
        <v>141</v>
      </c>
      <c r="B46" s="9" t="s">
        <v>178</v>
      </c>
      <c r="C46" s="9"/>
      <c r="D46" s="9" t="s">
        <v>31</v>
      </c>
      <c r="E46" s="9"/>
      <c r="F46" s="9"/>
      <c r="G46" s="9" t="s">
        <v>34</v>
      </c>
      <c r="H46" s="10" t="s">
        <v>187</v>
      </c>
      <c r="I46" s="9" t="s">
        <v>188</v>
      </c>
      <c r="J46" s="9" t="s">
        <v>180</v>
      </c>
      <c r="K46" s="9"/>
      <c r="L46" s="9"/>
      <c r="M46" s="10" t="s">
        <v>181</v>
      </c>
      <c r="N46" s="10" t="str">
        <f>IFERROR(VLOOKUP(M46,[1]DESC!A:B,2,FALSE),"")</f>
        <v/>
      </c>
      <c r="O46" s="9"/>
      <c r="P46" s="9"/>
      <c r="Q46" s="9"/>
      <c r="R46" s="9"/>
      <c r="S46" s="9"/>
      <c r="T46" s="11"/>
      <c r="U46" s="12" t="s">
        <v>170</v>
      </c>
      <c r="V46" s="12" t="s">
        <v>182</v>
      </c>
      <c r="W46" s="9">
        <v>10</v>
      </c>
      <c r="X46" s="9" t="s">
        <v>39</v>
      </c>
      <c r="Y46" s="9" t="s">
        <v>40</v>
      </c>
      <c r="Z46" s="9" t="s">
        <v>41</v>
      </c>
      <c r="AA46" s="9" t="s">
        <v>42</v>
      </c>
      <c r="AB46" s="9"/>
      <c r="AC46" s="9"/>
    </row>
    <row r="47" spans="1:29" ht="22.5" customHeight="1">
      <c r="A47" s="9" t="s">
        <v>141</v>
      </c>
      <c r="B47" s="9" t="s">
        <v>178</v>
      </c>
      <c r="C47" s="9"/>
      <c r="D47" s="9" t="s">
        <v>31</v>
      </c>
      <c r="E47" s="9"/>
      <c r="F47" s="9"/>
      <c r="G47" s="9" t="s">
        <v>34</v>
      </c>
      <c r="H47" s="10" t="s">
        <v>189</v>
      </c>
      <c r="I47" s="9" t="s">
        <v>190</v>
      </c>
      <c r="J47" s="9" t="s">
        <v>180</v>
      </c>
      <c r="K47" s="9"/>
      <c r="L47" s="9"/>
      <c r="M47" s="10" t="s">
        <v>181</v>
      </c>
      <c r="N47" s="10" t="str">
        <f>IFERROR(VLOOKUP(M47,[1]DESC!A:B,2,FALSE),"")</f>
        <v/>
      </c>
      <c r="O47" s="9"/>
      <c r="P47" s="9"/>
      <c r="Q47" s="9"/>
      <c r="R47" s="9"/>
      <c r="S47" s="9"/>
      <c r="T47" s="11"/>
      <c r="U47" s="12" t="s">
        <v>170</v>
      </c>
      <c r="V47" s="12" t="s">
        <v>182</v>
      </c>
      <c r="W47" s="9">
        <v>10</v>
      </c>
      <c r="X47" s="9" t="s">
        <v>39</v>
      </c>
      <c r="Y47" s="9" t="s">
        <v>40</v>
      </c>
      <c r="Z47" s="9" t="s">
        <v>41</v>
      </c>
      <c r="AA47" s="9" t="s">
        <v>42</v>
      </c>
      <c r="AB47" s="9"/>
      <c r="AC47" s="9"/>
    </row>
    <row r="48" spans="1:29" ht="22.5" customHeight="1">
      <c r="A48" s="9" t="s">
        <v>141</v>
      </c>
      <c r="B48" s="9" t="s">
        <v>178</v>
      </c>
      <c r="C48" s="9"/>
      <c r="D48" s="9" t="s">
        <v>31</v>
      </c>
      <c r="E48" s="9"/>
      <c r="F48" s="9"/>
      <c r="G48" s="9" t="s">
        <v>34</v>
      </c>
      <c r="H48" s="10" t="s">
        <v>191</v>
      </c>
      <c r="I48" s="9" t="s">
        <v>192</v>
      </c>
      <c r="J48" s="9" t="s">
        <v>180</v>
      </c>
      <c r="K48" s="9"/>
      <c r="L48" s="9"/>
      <c r="M48" s="10" t="s">
        <v>181</v>
      </c>
      <c r="N48" s="10" t="str">
        <f>IFERROR(VLOOKUP(M48,[1]DESC!A:B,2,FALSE),"")</f>
        <v/>
      </c>
      <c r="O48" s="9"/>
      <c r="P48" s="9"/>
      <c r="Q48" s="9"/>
      <c r="R48" s="9"/>
      <c r="S48" s="9"/>
      <c r="T48" s="11"/>
      <c r="U48" s="12" t="s">
        <v>170</v>
      </c>
      <c r="V48" s="12" t="s">
        <v>182</v>
      </c>
      <c r="W48" s="9">
        <v>10</v>
      </c>
      <c r="X48" s="9" t="s">
        <v>39</v>
      </c>
      <c r="Y48" s="9" t="s">
        <v>40</v>
      </c>
      <c r="Z48" s="9" t="s">
        <v>41</v>
      </c>
      <c r="AA48" s="9" t="s">
        <v>42</v>
      </c>
      <c r="AB48" s="9"/>
      <c r="AC48" s="9"/>
    </row>
    <row r="49" spans="1:29" ht="22.5" customHeight="1">
      <c r="A49" s="9" t="s">
        <v>141</v>
      </c>
      <c r="B49" s="9" t="s">
        <v>178</v>
      </c>
      <c r="C49" s="9"/>
      <c r="D49" s="9" t="s">
        <v>31</v>
      </c>
      <c r="E49" s="9"/>
      <c r="F49" s="9"/>
      <c r="G49" s="9" t="s">
        <v>34</v>
      </c>
      <c r="H49" s="10" t="s">
        <v>193</v>
      </c>
      <c r="I49" s="9" t="s">
        <v>194</v>
      </c>
      <c r="J49" s="9" t="s">
        <v>180</v>
      </c>
      <c r="K49" s="9"/>
      <c r="L49" s="9"/>
      <c r="M49" s="10" t="s">
        <v>181</v>
      </c>
      <c r="N49" s="10" t="str">
        <f>IFERROR(VLOOKUP(M49,[1]DESC!A:B,2,FALSE),"")</f>
        <v/>
      </c>
      <c r="O49" s="9"/>
      <c r="P49" s="9"/>
      <c r="Q49" s="9"/>
      <c r="R49" s="9"/>
      <c r="S49" s="9"/>
      <c r="T49" s="11"/>
      <c r="U49" s="12" t="s">
        <v>170</v>
      </c>
      <c r="V49" s="12" t="s">
        <v>182</v>
      </c>
      <c r="W49" s="9">
        <v>10</v>
      </c>
      <c r="X49" s="9" t="s">
        <v>39</v>
      </c>
      <c r="Y49" s="9" t="s">
        <v>40</v>
      </c>
      <c r="Z49" s="9" t="s">
        <v>41</v>
      </c>
      <c r="AA49" s="9" t="s">
        <v>42</v>
      </c>
      <c r="AB49" s="9"/>
      <c r="AC49" s="9"/>
    </row>
    <row r="50" spans="1:29" ht="22.5" customHeight="1">
      <c r="A50" s="9" t="s">
        <v>141</v>
      </c>
      <c r="B50" s="9" t="s">
        <v>178</v>
      </c>
      <c r="C50" s="9"/>
      <c r="D50" s="9" t="s">
        <v>31</v>
      </c>
      <c r="E50" s="9"/>
      <c r="F50" s="9"/>
      <c r="G50" s="9" t="s">
        <v>34</v>
      </c>
      <c r="H50" s="10" t="s">
        <v>195</v>
      </c>
      <c r="I50" s="9" t="s">
        <v>196</v>
      </c>
      <c r="J50" s="9" t="s">
        <v>180</v>
      </c>
      <c r="K50" s="9"/>
      <c r="L50" s="9"/>
      <c r="M50" s="10" t="s">
        <v>181</v>
      </c>
      <c r="N50" s="10" t="str">
        <f>IFERROR(VLOOKUP(M50,[1]DESC!A:B,2,FALSE),"")</f>
        <v/>
      </c>
      <c r="O50" s="9"/>
      <c r="P50" s="9"/>
      <c r="Q50" s="9"/>
      <c r="R50" s="9"/>
      <c r="S50" s="9"/>
      <c r="T50" s="11"/>
      <c r="U50" s="12" t="s">
        <v>170</v>
      </c>
      <c r="V50" s="12" t="s">
        <v>182</v>
      </c>
      <c r="W50" s="9">
        <v>10</v>
      </c>
      <c r="X50" s="9" t="s">
        <v>39</v>
      </c>
      <c r="Y50" s="9" t="s">
        <v>40</v>
      </c>
      <c r="Z50" s="9" t="s">
        <v>41</v>
      </c>
      <c r="AA50" s="9" t="s">
        <v>42</v>
      </c>
      <c r="AB50" s="9"/>
      <c r="AC50" s="9"/>
    </row>
    <row r="51" spans="1:29" ht="22.5" customHeight="1">
      <c r="A51" s="9" t="s">
        <v>141</v>
      </c>
      <c r="B51" s="9" t="s">
        <v>178</v>
      </c>
      <c r="C51" s="9"/>
      <c r="D51" s="9" t="s">
        <v>31</v>
      </c>
      <c r="E51" s="9"/>
      <c r="F51" s="9"/>
      <c r="G51" s="9" t="s">
        <v>34</v>
      </c>
      <c r="H51" s="10" t="s">
        <v>197</v>
      </c>
      <c r="I51" s="9" t="s">
        <v>198</v>
      </c>
      <c r="J51" s="9" t="s">
        <v>180</v>
      </c>
      <c r="K51" s="9"/>
      <c r="L51" s="9"/>
      <c r="M51" s="10" t="s">
        <v>181</v>
      </c>
      <c r="N51" s="10" t="str">
        <f>IFERROR(VLOOKUP(M51,[1]DESC!A:B,2,FALSE),"")</f>
        <v/>
      </c>
      <c r="O51" s="9"/>
      <c r="P51" s="9"/>
      <c r="Q51" s="9"/>
      <c r="R51" s="9"/>
      <c r="S51" s="9"/>
      <c r="T51" s="11"/>
      <c r="U51" s="12" t="s">
        <v>170</v>
      </c>
      <c r="V51" s="12" t="s">
        <v>182</v>
      </c>
      <c r="W51" s="9">
        <v>10</v>
      </c>
      <c r="X51" s="9" t="s">
        <v>39</v>
      </c>
      <c r="Y51" s="9" t="s">
        <v>40</v>
      </c>
      <c r="Z51" s="9" t="s">
        <v>41</v>
      </c>
      <c r="AA51" s="9" t="s">
        <v>42</v>
      </c>
      <c r="AB51" s="9"/>
      <c r="AC51" s="9"/>
    </row>
    <row r="52" spans="1:29" ht="22.5" customHeight="1">
      <c r="A52" s="9" t="s">
        <v>141</v>
      </c>
      <c r="B52" s="9" t="s">
        <v>178</v>
      </c>
      <c r="C52" s="9"/>
      <c r="D52" s="9" t="s">
        <v>31</v>
      </c>
      <c r="E52" s="9"/>
      <c r="F52" s="9"/>
      <c r="G52" s="9" t="s">
        <v>34</v>
      </c>
      <c r="H52" s="10"/>
      <c r="I52" s="9" t="s">
        <v>199</v>
      </c>
      <c r="J52" s="9" t="s">
        <v>180</v>
      </c>
      <c r="K52" s="9"/>
      <c r="L52" s="9"/>
      <c r="M52" s="10" t="s">
        <v>181</v>
      </c>
      <c r="N52" s="10" t="str">
        <f>IFERROR(VLOOKUP(M52,[1]DESC!A:B,2,FALSE),"")</f>
        <v/>
      </c>
      <c r="O52" s="9"/>
      <c r="P52" s="9"/>
      <c r="Q52" s="9"/>
      <c r="R52" s="9"/>
      <c r="S52" s="9"/>
      <c r="T52" s="11"/>
      <c r="U52" s="12" t="s">
        <v>170</v>
      </c>
      <c r="V52" s="12" t="s">
        <v>182</v>
      </c>
      <c r="W52" s="9">
        <v>10</v>
      </c>
      <c r="X52" s="9" t="s">
        <v>39</v>
      </c>
      <c r="Y52" s="9" t="s">
        <v>40</v>
      </c>
      <c r="Z52" s="9" t="s">
        <v>41</v>
      </c>
      <c r="AA52" s="9" t="s">
        <v>42</v>
      </c>
      <c r="AB52" s="9"/>
      <c r="AC52" s="9"/>
    </row>
    <row r="53" spans="1:29" ht="22.5" customHeight="1">
      <c r="A53" s="9" t="s">
        <v>141</v>
      </c>
      <c r="B53" s="9" t="s">
        <v>178</v>
      </c>
      <c r="C53" s="9"/>
      <c r="D53" s="9" t="s">
        <v>31</v>
      </c>
      <c r="E53" s="9"/>
      <c r="F53" s="9"/>
      <c r="G53" s="9" t="s">
        <v>34</v>
      </c>
      <c r="H53" s="10"/>
      <c r="I53" s="9" t="s">
        <v>200</v>
      </c>
      <c r="J53" s="9" t="s">
        <v>180</v>
      </c>
      <c r="K53" s="9"/>
      <c r="L53" s="9"/>
      <c r="M53" s="10" t="s">
        <v>181</v>
      </c>
      <c r="N53" s="10" t="str">
        <f>IFERROR(VLOOKUP(M53,[1]DESC!A:B,2,FALSE),"")</f>
        <v/>
      </c>
      <c r="O53" s="9"/>
      <c r="P53" s="9"/>
      <c r="Q53" s="9"/>
      <c r="R53" s="9"/>
      <c r="S53" s="9"/>
      <c r="T53" s="11"/>
      <c r="U53" s="12" t="s">
        <v>170</v>
      </c>
      <c r="V53" s="12" t="s">
        <v>182</v>
      </c>
      <c r="W53" s="9">
        <v>10</v>
      </c>
      <c r="X53" s="9" t="s">
        <v>39</v>
      </c>
      <c r="Y53" s="9" t="s">
        <v>40</v>
      </c>
      <c r="Z53" s="9" t="s">
        <v>41</v>
      </c>
      <c r="AA53" s="9" t="s">
        <v>42</v>
      </c>
      <c r="AB53" s="9"/>
      <c r="AC53" s="9"/>
    </row>
    <row r="54" spans="1:29" ht="22.5" customHeight="1">
      <c r="A54" s="9" t="s">
        <v>141</v>
      </c>
      <c r="B54" s="9" t="s">
        <v>178</v>
      </c>
      <c r="C54" s="9"/>
      <c r="D54" s="9" t="s">
        <v>31</v>
      </c>
      <c r="E54" s="9"/>
      <c r="F54" s="9"/>
      <c r="G54" s="9" t="s">
        <v>34</v>
      </c>
      <c r="H54" s="10"/>
      <c r="I54" s="9" t="s">
        <v>201</v>
      </c>
      <c r="J54" s="9" t="s">
        <v>180</v>
      </c>
      <c r="K54" s="9"/>
      <c r="L54" s="9"/>
      <c r="M54" s="10" t="s">
        <v>181</v>
      </c>
      <c r="N54" s="10" t="str">
        <f>IFERROR(VLOOKUP(M54,[1]DESC!A:B,2,FALSE),"")</f>
        <v/>
      </c>
      <c r="O54" s="9"/>
      <c r="P54" s="9"/>
      <c r="Q54" s="9"/>
      <c r="R54" s="9"/>
      <c r="S54" s="9"/>
      <c r="T54" s="11"/>
      <c r="U54" s="12" t="s">
        <v>170</v>
      </c>
      <c r="V54" s="12" t="s">
        <v>182</v>
      </c>
      <c r="W54" s="9">
        <v>10</v>
      </c>
      <c r="X54" s="9" t="s">
        <v>39</v>
      </c>
      <c r="Y54" s="9" t="s">
        <v>40</v>
      </c>
      <c r="Z54" s="9" t="s">
        <v>41</v>
      </c>
      <c r="AA54" s="9" t="s">
        <v>42</v>
      </c>
      <c r="AB54" s="9"/>
      <c r="AC54" s="9"/>
    </row>
    <row r="55" spans="1:29" ht="22.5" customHeight="1">
      <c r="A55" s="9" t="s">
        <v>141</v>
      </c>
      <c r="B55" s="9" t="s">
        <v>178</v>
      </c>
      <c r="C55" s="9"/>
      <c r="D55" s="9" t="s">
        <v>31</v>
      </c>
      <c r="E55" s="9"/>
      <c r="F55" s="9"/>
      <c r="G55" s="9" t="s">
        <v>34</v>
      </c>
      <c r="H55" s="10"/>
      <c r="I55" s="9" t="s">
        <v>202</v>
      </c>
      <c r="J55" s="9" t="s">
        <v>180</v>
      </c>
      <c r="K55" s="9"/>
      <c r="L55" s="9"/>
      <c r="M55" s="10" t="s">
        <v>181</v>
      </c>
      <c r="N55" s="10" t="str">
        <f>IFERROR(VLOOKUP(M55,[1]DESC!A:B,2,FALSE),"")</f>
        <v/>
      </c>
      <c r="O55" s="9"/>
      <c r="P55" s="9"/>
      <c r="Q55" s="9"/>
      <c r="R55" s="9"/>
      <c r="S55" s="9"/>
      <c r="T55" s="11"/>
      <c r="U55" s="12" t="s">
        <v>170</v>
      </c>
      <c r="V55" s="12" t="s">
        <v>182</v>
      </c>
      <c r="W55" s="9">
        <v>10</v>
      </c>
      <c r="X55" s="9" t="s">
        <v>39</v>
      </c>
      <c r="Y55" s="9" t="s">
        <v>40</v>
      </c>
      <c r="Z55" s="9" t="s">
        <v>41</v>
      </c>
      <c r="AA55" s="9" t="s">
        <v>42</v>
      </c>
      <c r="AB55" s="9"/>
      <c r="AC55" s="9"/>
    </row>
    <row r="56" spans="1:29" ht="22.5" customHeight="1">
      <c r="A56" s="9" t="s">
        <v>141</v>
      </c>
      <c r="B56" s="9" t="s">
        <v>178</v>
      </c>
      <c r="C56" s="9"/>
      <c r="D56" s="9" t="s">
        <v>31</v>
      </c>
      <c r="E56" s="9"/>
      <c r="F56" s="9"/>
      <c r="G56" s="9" t="s">
        <v>34</v>
      </c>
      <c r="H56" s="10"/>
      <c r="I56" s="9" t="s">
        <v>203</v>
      </c>
      <c r="J56" s="9" t="s">
        <v>180</v>
      </c>
      <c r="K56" s="9"/>
      <c r="L56" s="9"/>
      <c r="M56" s="10" t="s">
        <v>181</v>
      </c>
      <c r="N56" s="10" t="str">
        <f>IFERROR(VLOOKUP(M56,[1]DESC!A:B,2,FALSE),"")</f>
        <v/>
      </c>
      <c r="O56" s="9"/>
      <c r="P56" s="9"/>
      <c r="Q56" s="9"/>
      <c r="R56" s="9"/>
      <c r="S56" s="9"/>
      <c r="T56" s="11"/>
      <c r="U56" s="12" t="s">
        <v>170</v>
      </c>
      <c r="V56" s="12" t="s">
        <v>182</v>
      </c>
      <c r="W56" s="9">
        <v>10</v>
      </c>
      <c r="X56" s="9" t="s">
        <v>39</v>
      </c>
      <c r="Y56" s="9" t="s">
        <v>40</v>
      </c>
      <c r="Z56" s="9" t="s">
        <v>41</v>
      </c>
      <c r="AA56" s="9" t="s">
        <v>42</v>
      </c>
      <c r="AB56" s="9"/>
      <c r="AC56" s="9"/>
    </row>
    <row r="57" spans="1:29" ht="22.5" customHeight="1">
      <c r="A57" s="9" t="s">
        <v>29</v>
      </c>
      <c r="B57" s="9" t="s">
        <v>204</v>
      </c>
      <c r="C57" s="9"/>
      <c r="D57" s="9" t="s">
        <v>31</v>
      </c>
      <c r="E57" s="9" t="s">
        <v>44</v>
      </c>
      <c r="F57" s="9" t="s">
        <v>33</v>
      </c>
      <c r="G57" s="9" t="s">
        <v>34</v>
      </c>
      <c r="H57" s="10"/>
      <c r="I57" s="9"/>
      <c r="J57" s="9" t="s">
        <v>49</v>
      </c>
      <c r="K57" s="9"/>
      <c r="L57" s="9"/>
      <c r="M57" s="10" t="s">
        <v>205</v>
      </c>
      <c r="N57" s="10" t="str">
        <f>IFERROR(VLOOKUP(M57,[1]DESC!A:B,2,FALSE),"")</f>
        <v/>
      </c>
      <c r="O57" s="9"/>
      <c r="P57" s="9"/>
      <c r="Q57" s="9"/>
      <c r="R57" s="9"/>
      <c r="S57" s="9"/>
      <c r="T57" s="11"/>
      <c r="U57" s="12" t="s">
        <v>37</v>
      </c>
      <c r="V57" s="12" t="s">
        <v>206</v>
      </c>
      <c r="W57" s="9">
        <v>10</v>
      </c>
      <c r="X57" s="9" t="s">
        <v>39</v>
      </c>
      <c r="Y57" s="9" t="s">
        <v>40</v>
      </c>
      <c r="Z57" s="9" t="s">
        <v>41</v>
      </c>
      <c r="AA57" s="9" t="s">
        <v>42</v>
      </c>
      <c r="AB57" s="9"/>
      <c r="AC57" s="9"/>
    </row>
    <row r="58" spans="1:29" ht="22.5" customHeight="1">
      <c r="A58" s="9" t="s">
        <v>29</v>
      </c>
      <c r="B58" s="9" t="s">
        <v>171</v>
      </c>
      <c r="C58" s="9"/>
      <c r="D58" s="9" t="s">
        <v>31</v>
      </c>
      <c r="E58" s="9" t="s">
        <v>44</v>
      </c>
      <c r="F58" s="9" t="s">
        <v>33</v>
      </c>
      <c r="G58" s="9" t="s">
        <v>34</v>
      </c>
      <c r="H58" s="10" t="s">
        <v>207</v>
      </c>
      <c r="I58" s="9"/>
      <c r="J58" s="9" t="s">
        <v>49</v>
      </c>
      <c r="K58" s="9"/>
      <c r="L58" s="9"/>
      <c r="M58" s="10" t="s">
        <v>208</v>
      </c>
      <c r="N58" s="10" t="str">
        <f>IFERROR(VLOOKUP(M58,[1]DESC!A:B,2,FALSE),"")</f>
        <v/>
      </c>
      <c r="O58" s="9"/>
      <c r="P58" s="9"/>
      <c r="Q58" s="9"/>
      <c r="R58" s="9"/>
      <c r="S58" s="9"/>
      <c r="T58" s="11"/>
      <c r="U58" s="12" t="s">
        <v>57</v>
      </c>
      <c r="V58" s="12" t="s">
        <v>170</v>
      </c>
      <c r="W58" s="9">
        <v>10</v>
      </c>
      <c r="X58" s="9" t="s">
        <v>39</v>
      </c>
      <c r="Y58" s="9" t="s">
        <v>40</v>
      </c>
      <c r="Z58" s="9" t="s">
        <v>41</v>
      </c>
      <c r="AA58" s="9" t="s">
        <v>42</v>
      </c>
      <c r="AB58" s="9"/>
      <c r="AC58" s="9"/>
    </row>
    <row r="59" spans="1:29" ht="22.5" customHeight="1">
      <c r="A59" s="9" t="s">
        <v>29</v>
      </c>
      <c r="B59" s="9" t="s">
        <v>171</v>
      </c>
      <c r="C59" s="9"/>
      <c r="D59" s="9" t="s">
        <v>31</v>
      </c>
      <c r="E59" s="9" t="s">
        <v>44</v>
      </c>
      <c r="F59" s="9" t="s">
        <v>33</v>
      </c>
      <c r="G59" s="9" t="s">
        <v>34</v>
      </c>
      <c r="H59" s="10" t="s">
        <v>166</v>
      </c>
      <c r="I59" s="9"/>
      <c r="J59" s="9" t="s">
        <v>49</v>
      </c>
      <c r="K59" s="9"/>
      <c r="L59" s="9"/>
      <c r="M59" s="10" t="s">
        <v>208</v>
      </c>
      <c r="N59" s="10" t="str">
        <f>IFERROR(VLOOKUP(M59,[1]DESC!A:B,2,FALSE),"")</f>
        <v/>
      </c>
      <c r="O59" s="9"/>
      <c r="P59" s="9"/>
      <c r="Q59" s="9"/>
      <c r="R59" s="9"/>
      <c r="S59" s="9"/>
      <c r="T59" s="11"/>
      <c r="U59" s="12" t="s">
        <v>57</v>
      </c>
      <c r="V59" s="12" t="s">
        <v>170</v>
      </c>
      <c r="W59" s="9">
        <v>10</v>
      </c>
      <c r="X59" s="9" t="s">
        <v>39</v>
      </c>
      <c r="Y59" s="9" t="s">
        <v>40</v>
      </c>
      <c r="Z59" s="9" t="s">
        <v>41</v>
      </c>
      <c r="AA59" s="9" t="s">
        <v>42</v>
      </c>
      <c r="AB59" s="9"/>
      <c r="AC59" s="9"/>
    </row>
    <row r="60" spans="1:29" ht="22.5" customHeight="1">
      <c r="A60" s="9" t="s">
        <v>29</v>
      </c>
      <c r="B60" s="9" t="s">
        <v>171</v>
      </c>
      <c r="C60" s="9"/>
      <c r="D60" s="9" t="s">
        <v>31</v>
      </c>
      <c r="E60" s="9" t="s">
        <v>44</v>
      </c>
      <c r="F60" s="9" t="s">
        <v>33</v>
      </c>
      <c r="G60" s="9" t="s">
        <v>34</v>
      </c>
      <c r="H60" s="10" t="s">
        <v>209</v>
      </c>
      <c r="I60" s="9"/>
      <c r="J60" s="9" t="s">
        <v>49</v>
      </c>
      <c r="K60" s="9"/>
      <c r="L60" s="9"/>
      <c r="M60" s="10" t="s">
        <v>208</v>
      </c>
      <c r="N60" s="10" t="str">
        <f>IFERROR(VLOOKUP(M60,[1]DESC!A:B,2,FALSE),"")</f>
        <v/>
      </c>
      <c r="O60" s="9"/>
      <c r="P60" s="9"/>
      <c r="Q60" s="9"/>
      <c r="R60" s="9"/>
      <c r="S60" s="9"/>
      <c r="T60" s="11"/>
      <c r="U60" s="12" t="s">
        <v>57</v>
      </c>
      <c r="V60" s="12" t="s">
        <v>170</v>
      </c>
      <c r="W60" s="9">
        <v>10</v>
      </c>
      <c r="X60" s="9" t="s">
        <v>39</v>
      </c>
      <c r="Y60" s="9" t="s">
        <v>40</v>
      </c>
      <c r="Z60" s="9" t="s">
        <v>41</v>
      </c>
      <c r="AA60" s="9" t="s">
        <v>42</v>
      </c>
      <c r="AB60" s="9"/>
      <c r="AC60" s="9"/>
    </row>
    <row r="61" spans="1:29" ht="22.5" customHeight="1">
      <c r="A61" s="9" t="s">
        <v>29</v>
      </c>
      <c r="B61" s="9" t="s">
        <v>171</v>
      </c>
      <c r="C61" s="9"/>
      <c r="D61" s="9" t="s">
        <v>31</v>
      </c>
      <c r="E61" s="9" t="s">
        <v>44</v>
      </c>
      <c r="F61" s="9" t="s">
        <v>33</v>
      </c>
      <c r="G61" s="9" t="s">
        <v>34</v>
      </c>
      <c r="H61" s="10" t="s">
        <v>210</v>
      </c>
      <c r="I61" s="9"/>
      <c r="J61" s="9" t="s">
        <v>49</v>
      </c>
      <c r="K61" s="9"/>
      <c r="L61" s="9"/>
      <c r="M61" s="10" t="s">
        <v>208</v>
      </c>
      <c r="N61" s="10" t="str">
        <f>IFERROR(VLOOKUP(M61,[1]DESC!A:B,2,FALSE),"")</f>
        <v/>
      </c>
      <c r="O61" s="9"/>
      <c r="P61" s="9"/>
      <c r="Q61" s="9"/>
      <c r="R61" s="9"/>
      <c r="S61" s="9"/>
      <c r="T61" s="11"/>
      <c r="U61" s="12" t="s">
        <v>57</v>
      </c>
      <c r="V61" s="12" t="s">
        <v>170</v>
      </c>
      <c r="W61" s="9">
        <v>10</v>
      </c>
      <c r="X61" s="9" t="s">
        <v>39</v>
      </c>
      <c r="Y61" s="9" t="s">
        <v>40</v>
      </c>
      <c r="Z61" s="9" t="s">
        <v>41</v>
      </c>
      <c r="AA61" s="9" t="s">
        <v>42</v>
      </c>
      <c r="AB61" s="9"/>
      <c r="AC61" s="9"/>
    </row>
    <row r="62" spans="1:29" ht="22.5" customHeight="1">
      <c r="A62" s="9" t="s">
        <v>29</v>
      </c>
      <c r="B62" s="9" t="s">
        <v>171</v>
      </c>
      <c r="C62" s="9"/>
      <c r="D62" s="9" t="s">
        <v>31</v>
      </c>
      <c r="E62" s="9" t="s">
        <v>44</v>
      </c>
      <c r="F62" s="9" t="s">
        <v>33</v>
      </c>
      <c r="G62" s="9" t="s">
        <v>34</v>
      </c>
      <c r="H62" s="10" t="s">
        <v>211</v>
      </c>
      <c r="I62" s="9"/>
      <c r="J62" s="9" t="s">
        <v>49</v>
      </c>
      <c r="K62" s="9"/>
      <c r="L62" s="9"/>
      <c r="M62" s="10" t="s">
        <v>208</v>
      </c>
      <c r="N62" s="10" t="str">
        <f>IFERROR(VLOOKUP(M62,[1]DESC!A:B,2,FALSE),"")</f>
        <v/>
      </c>
      <c r="O62" s="9"/>
      <c r="P62" s="9"/>
      <c r="Q62" s="9"/>
      <c r="R62" s="9"/>
      <c r="S62" s="9"/>
      <c r="T62" s="11"/>
      <c r="U62" s="12" t="s">
        <v>57</v>
      </c>
      <c r="V62" s="12" t="s">
        <v>170</v>
      </c>
      <c r="W62" s="9">
        <v>10</v>
      </c>
      <c r="X62" s="9" t="s">
        <v>39</v>
      </c>
      <c r="Y62" s="9" t="s">
        <v>40</v>
      </c>
      <c r="Z62" s="9" t="s">
        <v>41</v>
      </c>
      <c r="AA62" s="9" t="s">
        <v>42</v>
      </c>
      <c r="AB62" s="9"/>
      <c r="AC62" s="9"/>
    </row>
    <row r="63" spans="1:29" ht="22.5" customHeight="1">
      <c r="A63" s="9" t="s">
        <v>29</v>
      </c>
      <c r="B63" s="9" t="s">
        <v>171</v>
      </c>
      <c r="C63" s="9"/>
      <c r="D63" s="9" t="s">
        <v>31</v>
      </c>
      <c r="E63" s="9" t="s">
        <v>44</v>
      </c>
      <c r="F63" s="9" t="s">
        <v>33</v>
      </c>
      <c r="G63" s="9" t="s">
        <v>34</v>
      </c>
      <c r="H63" s="10" t="s">
        <v>212</v>
      </c>
      <c r="I63" s="9"/>
      <c r="J63" s="9" t="s">
        <v>49</v>
      </c>
      <c r="K63" s="9"/>
      <c r="L63" s="9"/>
      <c r="M63" s="10" t="s">
        <v>208</v>
      </c>
      <c r="N63" s="10" t="str">
        <f>IFERROR(VLOOKUP(M63,[1]DESC!A:B,2,FALSE),"")</f>
        <v/>
      </c>
      <c r="O63" s="9"/>
      <c r="P63" s="9"/>
      <c r="Q63" s="9"/>
      <c r="R63" s="9"/>
      <c r="S63" s="9"/>
      <c r="T63" s="11"/>
      <c r="U63" s="12" t="s">
        <v>57</v>
      </c>
      <c r="V63" s="12" t="s">
        <v>170</v>
      </c>
      <c r="W63" s="9">
        <v>10</v>
      </c>
      <c r="X63" s="9" t="s">
        <v>39</v>
      </c>
      <c r="Y63" s="9" t="s">
        <v>40</v>
      </c>
      <c r="Z63" s="9" t="s">
        <v>41</v>
      </c>
      <c r="AA63" s="9" t="s">
        <v>42</v>
      </c>
      <c r="AB63" s="9"/>
      <c r="AC63" s="9"/>
    </row>
    <row r="64" spans="1:29" ht="22.5" customHeight="1">
      <c r="A64" s="9" t="s">
        <v>141</v>
      </c>
      <c r="B64" s="9" t="s">
        <v>168</v>
      </c>
      <c r="C64" s="9" t="s">
        <v>113</v>
      </c>
      <c r="D64" s="9" t="s">
        <v>76</v>
      </c>
      <c r="E64" s="9"/>
      <c r="F64" s="9"/>
      <c r="G64" s="9">
        <v>2</v>
      </c>
      <c r="H64" s="10" t="s">
        <v>178</v>
      </c>
      <c r="I64" s="9"/>
      <c r="J64" s="9" t="s">
        <v>180</v>
      </c>
      <c r="K64" s="9"/>
      <c r="L64" s="9"/>
      <c r="M64" s="10" t="s">
        <v>213</v>
      </c>
      <c r="N64" s="10" t="str">
        <f>IFERROR(VLOOKUP(M64,[1]DESC!A:B,2,FALSE),"")</f>
        <v xml:space="preserve"> It: Costo del Rischio Contabile   En: Cost of Accounting Risk  </v>
      </c>
      <c r="O64" s="9" t="s">
        <v>116</v>
      </c>
      <c r="P64" s="9" t="s">
        <v>117</v>
      </c>
      <c r="Q64" s="9" t="s">
        <v>118</v>
      </c>
      <c r="R64" s="9" t="s">
        <v>214</v>
      </c>
      <c r="S64" s="9" t="s">
        <v>215</v>
      </c>
      <c r="T64" s="11" t="s">
        <v>216</v>
      </c>
      <c r="U64" s="12" t="s">
        <v>217</v>
      </c>
      <c r="V64" s="12" t="s">
        <v>218</v>
      </c>
      <c r="W64" s="9">
        <v>0</v>
      </c>
      <c r="X64" s="9" t="s">
        <v>214</v>
      </c>
      <c r="Y64" s="9" t="s">
        <v>215</v>
      </c>
      <c r="Z64" s="9" t="s">
        <v>216</v>
      </c>
      <c r="AA64" s="9" t="s">
        <v>219</v>
      </c>
      <c r="AB64" s="12" t="s">
        <v>182</v>
      </c>
      <c r="AC64" s="9">
        <v>100</v>
      </c>
    </row>
    <row r="65" spans="1:29" ht="22.5" customHeight="1">
      <c r="A65" s="9" t="s">
        <v>141</v>
      </c>
      <c r="B65" s="9" t="s">
        <v>168</v>
      </c>
      <c r="C65" s="9" t="s">
        <v>113</v>
      </c>
      <c r="D65" s="9" t="s">
        <v>76</v>
      </c>
      <c r="E65" s="9"/>
      <c r="F65" s="9"/>
      <c r="G65" s="9">
        <v>2</v>
      </c>
      <c r="H65" s="10" t="s">
        <v>211</v>
      </c>
      <c r="I65" s="9"/>
      <c r="J65" s="9" t="s">
        <v>180</v>
      </c>
      <c r="K65" s="9"/>
      <c r="L65" s="9"/>
      <c r="M65" s="10" t="s">
        <v>213</v>
      </c>
      <c r="N65" s="10" t="str">
        <f>IFERROR(VLOOKUP(M65,[1]DESC!A:B,2,FALSE),"")</f>
        <v xml:space="preserve"> It: Costo del Rischio Contabile   En: Cost of Accounting Risk  </v>
      </c>
      <c r="O65" s="9" t="s">
        <v>116</v>
      </c>
      <c r="P65" s="9" t="s">
        <v>117</v>
      </c>
      <c r="Q65" s="9" t="s">
        <v>118</v>
      </c>
      <c r="R65" s="9" t="s">
        <v>214</v>
      </c>
      <c r="S65" s="9" t="s">
        <v>215</v>
      </c>
      <c r="T65" s="11" t="s">
        <v>216</v>
      </c>
      <c r="U65" s="12" t="s">
        <v>217</v>
      </c>
      <c r="V65" s="12" t="s">
        <v>218</v>
      </c>
      <c r="W65" s="9">
        <v>0</v>
      </c>
      <c r="X65" s="9" t="s">
        <v>214</v>
      </c>
      <c r="Y65" s="9" t="s">
        <v>215</v>
      </c>
      <c r="Z65" s="9" t="s">
        <v>216</v>
      </c>
      <c r="AA65" s="9" t="s">
        <v>219</v>
      </c>
      <c r="AB65" s="12" t="s">
        <v>182</v>
      </c>
      <c r="AC65" s="9">
        <v>100</v>
      </c>
    </row>
    <row r="66" spans="1:29" ht="22.5" customHeight="1">
      <c r="A66" s="9" t="s">
        <v>141</v>
      </c>
      <c r="B66" s="9" t="s">
        <v>168</v>
      </c>
      <c r="C66" s="9" t="s">
        <v>113</v>
      </c>
      <c r="D66" s="9" t="s">
        <v>76</v>
      </c>
      <c r="E66" s="9"/>
      <c r="F66" s="9"/>
      <c r="G66" s="9">
        <v>2</v>
      </c>
      <c r="H66" s="10" t="s">
        <v>166</v>
      </c>
      <c r="I66" s="9"/>
      <c r="J66" s="9" t="s">
        <v>180</v>
      </c>
      <c r="K66" s="9"/>
      <c r="L66" s="9"/>
      <c r="M66" s="10" t="s">
        <v>213</v>
      </c>
      <c r="N66" s="10" t="str">
        <f>IFERROR(VLOOKUP(M66,[1]DESC!A:B,2,FALSE),"")</f>
        <v xml:space="preserve"> It: Costo del Rischio Contabile   En: Cost of Accounting Risk  </v>
      </c>
      <c r="O66" s="9" t="s">
        <v>116</v>
      </c>
      <c r="P66" s="9" t="s">
        <v>117</v>
      </c>
      <c r="Q66" s="9" t="s">
        <v>118</v>
      </c>
      <c r="R66" s="9" t="s">
        <v>214</v>
      </c>
      <c r="S66" s="9" t="s">
        <v>215</v>
      </c>
      <c r="T66" s="11" t="s">
        <v>216</v>
      </c>
      <c r="U66" s="12" t="s">
        <v>217</v>
      </c>
      <c r="V66" s="12" t="s">
        <v>218</v>
      </c>
      <c r="W66" s="9">
        <v>0</v>
      </c>
      <c r="X66" s="9" t="s">
        <v>214</v>
      </c>
      <c r="Y66" s="9" t="s">
        <v>215</v>
      </c>
      <c r="Z66" s="9" t="s">
        <v>216</v>
      </c>
      <c r="AA66" s="9" t="s">
        <v>219</v>
      </c>
      <c r="AB66" s="12" t="s">
        <v>182</v>
      </c>
      <c r="AC66" s="9">
        <v>100</v>
      </c>
    </row>
    <row r="67" spans="1:29" ht="22.5" customHeight="1">
      <c r="A67" s="9" t="s">
        <v>141</v>
      </c>
      <c r="B67" s="9" t="s">
        <v>168</v>
      </c>
      <c r="C67" s="9" t="s">
        <v>113</v>
      </c>
      <c r="D67" s="9" t="s">
        <v>76</v>
      </c>
      <c r="E67" s="9"/>
      <c r="F67" s="9"/>
      <c r="G67" s="9">
        <v>2</v>
      </c>
      <c r="H67" s="10" t="s">
        <v>212</v>
      </c>
      <c r="I67" s="9"/>
      <c r="J67" s="9" t="s">
        <v>180</v>
      </c>
      <c r="K67" s="9"/>
      <c r="L67" s="9"/>
      <c r="M67" s="10" t="s">
        <v>213</v>
      </c>
      <c r="N67" s="10" t="str">
        <f>IFERROR(VLOOKUP(M67,[1]DESC!A:B,2,FALSE),"")</f>
        <v xml:space="preserve"> It: Costo del Rischio Contabile   En: Cost of Accounting Risk  </v>
      </c>
      <c r="O67" s="9" t="s">
        <v>116</v>
      </c>
      <c r="P67" s="9" t="s">
        <v>117</v>
      </c>
      <c r="Q67" s="9" t="s">
        <v>118</v>
      </c>
      <c r="R67" s="9" t="s">
        <v>214</v>
      </c>
      <c r="S67" s="9" t="s">
        <v>215</v>
      </c>
      <c r="T67" s="11" t="s">
        <v>216</v>
      </c>
      <c r="U67" s="12" t="s">
        <v>217</v>
      </c>
      <c r="V67" s="12" t="s">
        <v>218</v>
      </c>
      <c r="W67" s="9">
        <v>0</v>
      </c>
      <c r="X67" s="9" t="s">
        <v>214</v>
      </c>
      <c r="Y67" s="9" t="s">
        <v>215</v>
      </c>
      <c r="Z67" s="9" t="s">
        <v>216</v>
      </c>
      <c r="AA67" s="9" t="s">
        <v>219</v>
      </c>
      <c r="AB67" s="12" t="s">
        <v>182</v>
      </c>
      <c r="AC67" s="9">
        <v>100</v>
      </c>
    </row>
    <row r="68" spans="1:29" ht="22.5" customHeight="1">
      <c r="A68" s="9" t="s">
        <v>29</v>
      </c>
      <c r="B68" s="9" t="s">
        <v>220</v>
      </c>
      <c r="C68" s="9"/>
      <c r="D68" s="9" t="s">
        <v>31</v>
      </c>
      <c r="E68" s="9" t="s">
        <v>32</v>
      </c>
      <c r="F68" s="9" t="s">
        <v>33</v>
      </c>
      <c r="G68" s="9" t="s">
        <v>34</v>
      </c>
      <c r="H68" s="10"/>
      <c r="I68" s="9"/>
      <c r="J68" s="9" t="s">
        <v>35</v>
      </c>
      <c r="K68" s="9"/>
      <c r="L68" s="9"/>
      <c r="M68" s="10" t="s">
        <v>221</v>
      </c>
      <c r="N68" s="10" t="str">
        <f>IFERROR(VLOOKUP(M68,[1]DESC!A:B,2,FALSE),"")</f>
        <v/>
      </c>
      <c r="O68" s="9"/>
      <c r="P68" s="9"/>
      <c r="Q68" s="9"/>
      <c r="R68" s="9"/>
      <c r="S68" s="9"/>
      <c r="T68" s="11"/>
      <c r="U68" s="12" t="s">
        <v>37</v>
      </c>
      <c r="V68" s="12" t="s">
        <v>47</v>
      </c>
      <c r="W68" s="9">
        <v>10</v>
      </c>
      <c r="X68" s="9" t="s">
        <v>39</v>
      </c>
      <c r="Y68" s="9" t="s">
        <v>40</v>
      </c>
      <c r="Z68" s="9" t="s">
        <v>41</v>
      </c>
      <c r="AA68" s="9" t="s">
        <v>42</v>
      </c>
      <c r="AB68" s="9"/>
      <c r="AC68" s="9"/>
    </row>
    <row r="69" spans="1:29" ht="22.5" customHeight="1">
      <c r="A69" s="9" t="s">
        <v>29</v>
      </c>
      <c r="B69" s="9" t="s">
        <v>209</v>
      </c>
      <c r="C69" s="9" t="s">
        <v>75</v>
      </c>
      <c r="D69" s="9" t="s">
        <v>31</v>
      </c>
      <c r="E69" s="9" t="s">
        <v>44</v>
      </c>
      <c r="F69" s="9" t="s">
        <v>33</v>
      </c>
      <c r="G69" s="9" t="s">
        <v>34</v>
      </c>
      <c r="H69" s="10" t="s">
        <v>222</v>
      </c>
      <c r="I69" s="9" t="s">
        <v>171</v>
      </c>
      <c r="J69" s="9" t="s">
        <v>35</v>
      </c>
      <c r="K69" s="9"/>
      <c r="L69" s="9"/>
      <c r="M69" s="10" t="s">
        <v>223</v>
      </c>
      <c r="N69" s="10" t="str">
        <f>IFERROR(VLOOKUP(M69,[1]DESC!A:B,2,FALSE),"")</f>
        <v/>
      </c>
      <c r="O69" s="9" t="s">
        <v>81</v>
      </c>
      <c r="P69" s="9" t="s">
        <v>82</v>
      </c>
      <c r="Q69" s="9" t="s">
        <v>83</v>
      </c>
      <c r="R69" s="9" t="s">
        <v>84</v>
      </c>
      <c r="S69" s="9" t="s">
        <v>85</v>
      </c>
      <c r="T69" s="11" t="s">
        <v>86</v>
      </c>
      <c r="U69" s="12" t="s">
        <v>149</v>
      </c>
      <c r="V69" s="12" t="s">
        <v>38</v>
      </c>
      <c r="W69" s="9">
        <v>10</v>
      </c>
      <c r="X69" s="9" t="s">
        <v>39</v>
      </c>
      <c r="Y69" s="9" t="s">
        <v>40</v>
      </c>
      <c r="Z69" s="9" t="s">
        <v>41</v>
      </c>
      <c r="AA69" s="9" t="s">
        <v>42</v>
      </c>
      <c r="AB69" s="9"/>
      <c r="AC69" s="9"/>
    </row>
    <row r="70" spans="1:29" ht="22.5" customHeight="1">
      <c r="A70" s="9" t="s">
        <v>29</v>
      </c>
      <c r="B70" s="9" t="s">
        <v>224</v>
      </c>
      <c r="C70" s="9"/>
      <c r="D70" s="9" t="s">
        <v>31</v>
      </c>
      <c r="E70" s="9" t="s">
        <v>32</v>
      </c>
      <c r="F70" s="9" t="s">
        <v>33</v>
      </c>
      <c r="G70" s="9" t="s">
        <v>34</v>
      </c>
      <c r="H70" s="10"/>
      <c r="I70" s="9"/>
      <c r="J70" s="9" t="s">
        <v>35</v>
      </c>
      <c r="K70" s="9"/>
      <c r="L70" s="9"/>
      <c r="M70" s="10" t="s">
        <v>225</v>
      </c>
      <c r="N70" s="10" t="str">
        <f>IFERROR(VLOOKUP(M70,[1]DESC!A:B,2,FALSE),"")</f>
        <v/>
      </c>
      <c r="O70" s="9"/>
      <c r="P70" s="9"/>
      <c r="Q70" s="9"/>
      <c r="R70" s="9"/>
      <c r="S70" s="9"/>
      <c r="T70" s="11"/>
      <c r="U70" s="12" t="s">
        <v>37</v>
      </c>
      <c r="V70" s="12" t="s">
        <v>47</v>
      </c>
      <c r="W70" s="9">
        <v>10</v>
      </c>
      <c r="X70" s="9" t="s">
        <v>39</v>
      </c>
      <c r="Y70" s="9" t="s">
        <v>40</v>
      </c>
      <c r="Z70" s="9" t="s">
        <v>41</v>
      </c>
      <c r="AA70" s="9" t="s">
        <v>42</v>
      </c>
      <c r="AB70" s="9"/>
      <c r="AC70" s="9"/>
    </row>
    <row r="71" spans="1:29" ht="22.5" customHeight="1">
      <c r="A71" s="9" t="s">
        <v>141</v>
      </c>
      <c r="B71" s="9" t="s">
        <v>226</v>
      </c>
      <c r="C71" s="9" t="s">
        <v>113</v>
      </c>
      <c r="D71" s="9" t="s">
        <v>76</v>
      </c>
      <c r="E71" s="9" t="s">
        <v>44</v>
      </c>
      <c r="F71" s="9" t="s">
        <v>33</v>
      </c>
      <c r="G71" s="9">
        <v>2</v>
      </c>
      <c r="H71" s="10" t="s">
        <v>227</v>
      </c>
      <c r="I71" s="9"/>
      <c r="J71" s="9" t="s">
        <v>35</v>
      </c>
      <c r="K71" s="9"/>
      <c r="L71" s="9"/>
      <c r="M71" s="10" t="s">
        <v>228</v>
      </c>
      <c r="N71" s="10" t="str">
        <f>IFERROR(VLOOKUP(M71,[1]DESC!A:B,2,FALSE),"")</f>
        <v xml:space="preserve">  PROFITABILITY  
 It : La metrica monitora i livelli di efficienza della struttura operativa 
 &lt;br/&gt;En : The metric monitors the efficiency levels of the operating structure </v>
      </c>
      <c r="O71" s="9" t="s">
        <v>116</v>
      </c>
      <c r="P71" s="9" t="s">
        <v>117</v>
      </c>
      <c r="Q71" s="9" t="s">
        <v>118</v>
      </c>
      <c r="R71" s="9" t="s">
        <v>214</v>
      </c>
      <c r="S71" s="9" t="s">
        <v>215</v>
      </c>
      <c r="T71" s="11" t="s">
        <v>216</v>
      </c>
      <c r="U71" s="12" t="s">
        <v>57</v>
      </c>
      <c r="V71" s="12" t="s">
        <v>218</v>
      </c>
      <c r="W71" s="9">
        <v>0</v>
      </c>
      <c r="X71" s="9" t="s">
        <v>214</v>
      </c>
      <c r="Y71" s="9" t="s">
        <v>215</v>
      </c>
      <c r="Z71" s="9" t="s">
        <v>216</v>
      </c>
      <c r="AA71" s="9" t="s">
        <v>219</v>
      </c>
      <c r="AB71" s="12" t="s">
        <v>182</v>
      </c>
      <c r="AC71" s="9">
        <v>99</v>
      </c>
    </row>
    <row r="72" spans="1:29" ht="22.5" customHeight="1">
      <c r="A72" s="9" t="s">
        <v>141</v>
      </c>
      <c r="B72" s="9" t="s">
        <v>226</v>
      </c>
      <c r="C72" s="9" t="s">
        <v>113</v>
      </c>
      <c r="D72" s="9" t="s">
        <v>76</v>
      </c>
      <c r="E72" s="9" t="s">
        <v>44</v>
      </c>
      <c r="F72" s="9" t="s">
        <v>33</v>
      </c>
      <c r="G72" s="9">
        <v>2</v>
      </c>
      <c r="H72" s="10" t="s">
        <v>229</v>
      </c>
      <c r="I72" s="9"/>
      <c r="J72" s="9" t="s">
        <v>35</v>
      </c>
      <c r="K72" s="9"/>
      <c r="L72" s="9"/>
      <c r="M72" s="10" t="s">
        <v>228</v>
      </c>
      <c r="N72" s="10" t="str">
        <f>IFERROR(VLOOKUP(M72,[1]DESC!A:B,2,FALSE),"")</f>
        <v xml:space="preserve">  PROFITABILITY  
 It : La metrica monitora i livelli di efficienza della struttura operativa 
 &lt;br/&gt;En : The metric monitors the efficiency levels of the operating structure </v>
      </c>
      <c r="O72" s="9" t="s">
        <v>116</v>
      </c>
      <c r="P72" s="9" t="s">
        <v>117</v>
      </c>
      <c r="Q72" s="9" t="s">
        <v>118</v>
      </c>
      <c r="R72" s="9" t="s">
        <v>214</v>
      </c>
      <c r="S72" s="9" t="s">
        <v>215</v>
      </c>
      <c r="T72" s="11" t="s">
        <v>216</v>
      </c>
      <c r="U72" s="12" t="s">
        <v>57</v>
      </c>
      <c r="V72" s="12" t="s">
        <v>218</v>
      </c>
      <c r="W72" s="9">
        <v>0</v>
      </c>
      <c r="X72" s="9" t="s">
        <v>214</v>
      </c>
      <c r="Y72" s="9" t="s">
        <v>215</v>
      </c>
      <c r="Z72" s="9" t="s">
        <v>216</v>
      </c>
      <c r="AA72" s="9" t="s">
        <v>219</v>
      </c>
      <c r="AB72" s="12" t="s">
        <v>182</v>
      </c>
      <c r="AC72" s="9">
        <v>99</v>
      </c>
    </row>
    <row r="73" spans="1:29" ht="22.5" customHeight="1">
      <c r="A73" s="9" t="s">
        <v>29</v>
      </c>
      <c r="B73" s="9" t="s">
        <v>230</v>
      </c>
      <c r="C73" s="9"/>
      <c r="D73" s="9" t="s">
        <v>31</v>
      </c>
      <c r="E73" s="9" t="s">
        <v>44</v>
      </c>
      <c r="F73" s="9" t="s">
        <v>33</v>
      </c>
      <c r="G73" s="9" t="s">
        <v>34</v>
      </c>
      <c r="H73" s="10" t="s">
        <v>231</v>
      </c>
      <c r="I73" s="9"/>
      <c r="J73" s="9" t="s">
        <v>49</v>
      </c>
      <c r="K73" s="9"/>
      <c r="L73" s="9"/>
      <c r="M73" s="10" t="s">
        <v>232</v>
      </c>
      <c r="N73" s="10" t="str">
        <f>IFERROR(VLOOKUP(M73,[1]DESC!A:B,2,FALSE),"")</f>
        <v/>
      </c>
      <c r="O73" s="9"/>
      <c r="P73" s="9"/>
      <c r="Q73" s="9"/>
      <c r="R73" s="9"/>
      <c r="S73" s="9"/>
      <c r="T73" s="11"/>
      <c r="U73" s="12" t="s">
        <v>57</v>
      </c>
      <c r="V73" s="12" t="s">
        <v>47</v>
      </c>
      <c r="W73" s="9">
        <v>10</v>
      </c>
      <c r="X73" s="9" t="s">
        <v>39</v>
      </c>
      <c r="Y73" s="9" t="s">
        <v>40</v>
      </c>
      <c r="Z73" s="9" t="s">
        <v>41</v>
      </c>
      <c r="AA73" s="9" t="s">
        <v>42</v>
      </c>
      <c r="AB73" s="9"/>
      <c r="AC73" s="9"/>
    </row>
    <row r="74" spans="1:29" ht="22.5" customHeight="1">
      <c r="A74" s="9" t="s">
        <v>29</v>
      </c>
      <c r="B74" s="9" t="s">
        <v>230</v>
      </c>
      <c r="C74" s="9"/>
      <c r="D74" s="9" t="s">
        <v>31</v>
      </c>
      <c r="E74" s="9" t="s">
        <v>44</v>
      </c>
      <c r="F74" s="9" t="s">
        <v>33</v>
      </c>
      <c r="G74" s="9" t="s">
        <v>34</v>
      </c>
      <c r="H74" s="10" t="s">
        <v>233</v>
      </c>
      <c r="I74" s="9"/>
      <c r="J74" s="9" t="s">
        <v>49</v>
      </c>
      <c r="K74" s="9"/>
      <c r="L74" s="9"/>
      <c r="M74" s="10" t="s">
        <v>232</v>
      </c>
      <c r="N74" s="10" t="str">
        <f>IFERROR(VLOOKUP(M74,[1]DESC!A:B,2,FALSE),"")</f>
        <v/>
      </c>
      <c r="O74" s="9"/>
      <c r="P74" s="9"/>
      <c r="Q74" s="9"/>
      <c r="R74" s="9"/>
      <c r="S74" s="9"/>
      <c r="T74" s="11"/>
      <c r="U74" s="12" t="s">
        <v>57</v>
      </c>
      <c r="V74" s="12" t="s">
        <v>47</v>
      </c>
      <c r="W74" s="9">
        <v>10</v>
      </c>
      <c r="X74" s="9" t="s">
        <v>39</v>
      </c>
      <c r="Y74" s="9" t="s">
        <v>40</v>
      </c>
      <c r="Z74" s="9" t="s">
        <v>41</v>
      </c>
      <c r="AA74" s="9" t="s">
        <v>42</v>
      </c>
      <c r="AB74" s="9"/>
      <c r="AC74" s="9"/>
    </row>
    <row r="75" spans="1:29" ht="22.5" customHeight="1">
      <c r="A75" s="9" t="s">
        <v>29</v>
      </c>
      <c r="B75" s="9" t="s">
        <v>234</v>
      </c>
      <c r="C75" s="9"/>
      <c r="D75" s="9" t="s">
        <v>31</v>
      </c>
      <c r="E75" s="9" t="s">
        <v>44</v>
      </c>
      <c r="F75" s="9" t="s">
        <v>33</v>
      </c>
      <c r="G75" s="9" t="s">
        <v>34</v>
      </c>
      <c r="H75" s="10" t="s">
        <v>235</v>
      </c>
      <c r="I75" s="9"/>
      <c r="J75" s="9" t="s">
        <v>49</v>
      </c>
      <c r="K75" s="9"/>
      <c r="L75" s="9"/>
      <c r="M75" s="10" t="s">
        <v>236</v>
      </c>
      <c r="N75" s="10" t="str">
        <f>IFERROR(VLOOKUP(M75,[1]DESC!A:B,2,FALSE),"")</f>
        <v/>
      </c>
      <c r="O75" s="9"/>
      <c r="P75" s="9"/>
      <c r="Q75" s="9"/>
      <c r="R75" s="9"/>
      <c r="S75" s="9"/>
      <c r="T75" s="11"/>
      <c r="U75" s="12" t="s">
        <v>57</v>
      </c>
      <c r="V75" s="12" t="s">
        <v>47</v>
      </c>
      <c r="W75" s="9">
        <v>10</v>
      </c>
      <c r="X75" s="9" t="s">
        <v>39</v>
      </c>
      <c r="Y75" s="9" t="s">
        <v>40</v>
      </c>
      <c r="Z75" s="9" t="s">
        <v>41</v>
      </c>
      <c r="AA75" s="9" t="s">
        <v>42</v>
      </c>
      <c r="AB75" s="9"/>
      <c r="AC75" s="9"/>
    </row>
    <row r="76" spans="1:29" ht="22.5" customHeight="1">
      <c r="A76" s="9" t="s">
        <v>29</v>
      </c>
      <c r="B76" s="9" t="s">
        <v>234</v>
      </c>
      <c r="C76" s="9"/>
      <c r="D76" s="9" t="s">
        <v>31</v>
      </c>
      <c r="E76" s="9" t="s">
        <v>44</v>
      </c>
      <c r="F76" s="9" t="s">
        <v>33</v>
      </c>
      <c r="G76" s="9" t="s">
        <v>34</v>
      </c>
      <c r="H76" s="10" t="s">
        <v>237</v>
      </c>
      <c r="I76" s="9"/>
      <c r="J76" s="9" t="s">
        <v>49</v>
      </c>
      <c r="K76" s="9"/>
      <c r="L76" s="9"/>
      <c r="M76" s="10" t="s">
        <v>236</v>
      </c>
      <c r="N76" s="10" t="str">
        <f>IFERROR(VLOOKUP(M76,[1]DESC!A:B,2,FALSE),"")</f>
        <v/>
      </c>
      <c r="O76" s="9"/>
      <c r="P76" s="9"/>
      <c r="Q76" s="9"/>
      <c r="R76" s="9"/>
      <c r="S76" s="9"/>
      <c r="T76" s="11"/>
      <c r="U76" s="12" t="s">
        <v>57</v>
      </c>
      <c r="V76" s="12" t="s">
        <v>47</v>
      </c>
      <c r="W76" s="9">
        <v>10</v>
      </c>
      <c r="X76" s="9" t="s">
        <v>39</v>
      </c>
      <c r="Y76" s="9" t="s">
        <v>40</v>
      </c>
      <c r="Z76" s="9" t="s">
        <v>41</v>
      </c>
      <c r="AA76" s="9" t="s">
        <v>42</v>
      </c>
      <c r="AB76" s="9"/>
      <c r="AC76" s="9"/>
    </row>
    <row r="77" spans="1:29" ht="22.5" customHeight="1">
      <c r="A77" s="9" t="s">
        <v>29</v>
      </c>
      <c r="B77" s="9" t="s">
        <v>211</v>
      </c>
      <c r="C77" s="9"/>
      <c r="D77" s="9" t="s">
        <v>31</v>
      </c>
      <c r="E77" s="9" t="s">
        <v>167</v>
      </c>
      <c r="F77" s="9" t="s">
        <v>33</v>
      </c>
      <c r="G77" s="9" t="s">
        <v>34</v>
      </c>
      <c r="H77" s="10"/>
      <c r="I77" s="9" t="s">
        <v>168</v>
      </c>
      <c r="J77" s="9" t="s">
        <v>144</v>
      </c>
      <c r="K77" s="9"/>
      <c r="L77" s="9"/>
      <c r="M77" s="10" t="s">
        <v>238</v>
      </c>
      <c r="N77" s="10" t="str">
        <f>IFERROR(VLOOKUP(M77,[1]DESC!A:B,2,FALSE),"")</f>
        <v/>
      </c>
      <c r="O77" s="9"/>
      <c r="P77" s="9"/>
      <c r="Q77" s="9"/>
      <c r="R77" s="9"/>
      <c r="S77" s="9"/>
      <c r="T77" s="11"/>
      <c r="U77" s="12" t="s">
        <v>149</v>
      </c>
      <c r="V77" s="12" t="s">
        <v>170</v>
      </c>
      <c r="W77" s="9">
        <v>10</v>
      </c>
      <c r="X77" s="9" t="s">
        <v>39</v>
      </c>
      <c r="Y77" s="9" t="s">
        <v>40</v>
      </c>
      <c r="Z77" s="9" t="s">
        <v>41</v>
      </c>
      <c r="AA77" s="9" t="s">
        <v>42</v>
      </c>
      <c r="AB77" s="9"/>
      <c r="AC77" s="9"/>
    </row>
    <row r="78" spans="1:29" ht="22.5" customHeight="1">
      <c r="A78" s="9" t="s">
        <v>29</v>
      </c>
      <c r="B78" s="9" t="s">
        <v>211</v>
      </c>
      <c r="C78" s="9"/>
      <c r="D78" s="9" t="s">
        <v>31</v>
      </c>
      <c r="E78" s="9" t="s">
        <v>167</v>
      </c>
      <c r="F78" s="9" t="s">
        <v>33</v>
      </c>
      <c r="G78" s="9" t="s">
        <v>34</v>
      </c>
      <c r="H78" s="10"/>
      <c r="I78" s="9" t="s">
        <v>203</v>
      </c>
      <c r="J78" s="9" t="s">
        <v>144</v>
      </c>
      <c r="K78" s="9"/>
      <c r="L78" s="9"/>
      <c r="M78" s="10" t="s">
        <v>238</v>
      </c>
      <c r="N78" s="10" t="str">
        <f>IFERROR(VLOOKUP(M78,[1]DESC!A:B,2,FALSE),"")</f>
        <v/>
      </c>
      <c r="O78" s="9"/>
      <c r="P78" s="9"/>
      <c r="Q78" s="9"/>
      <c r="R78" s="9"/>
      <c r="S78" s="9"/>
      <c r="T78" s="11"/>
      <c r="U78" s="12" t="s">
        <v>149</v>
      </c>
      <c r="V78" s="12" t="s">
        <v>170</v>
      </c>
      <c r="W78" s="9">
        <v>10</v>
      </c>
      <c r="X78" s="9" t="s">
        <v>39</v>
      </c>
      <c r="Y78" s="9" t="s">
        <v>40</v>
      </c>
      <c r="Z78" s="9" t="s">
        <v>41</v>
      </c>
      <c r="AA78" s="9" t="s">
        <v>42</v>
      </c>
      <c r="AB78" s="9"/>
      <c r="AC78" s="9"/>
    </row>
    <row r="79" spans="1:29" ht="22.5" customHeight="1">
      <c r="A79" s="9" t="s">
        <v>29</v>
      </c>
      <c r="B79" s="9" t="s">
        <v>211</v>
      </c>
      <c r="C79" s="9"/>
      <c r="D79" s="9" t="s">
        <v>31</v>
      </c>
      <c r="E79" s="9" t="s">
        <v>167</v>
      </c>
      <c r="F79" s="9" t="s">
        <v>33</v>
      </c>
      <c r="G79" s="9" t="s">
        <v>34</v>
      </c>
      <c r="H79" s="10"/>
      <c r="I79" s="9" t="s">
        <v>171</v>
      </c>
      <c r="J79" s="9" t="s">
        <v>144</v>
      </c>
      <c r="K79" s="9"/>
      <c r="L79" s="9"/>
      <c r="M79" s="10" t="s">
        <v>238</v>
      </c>
      <c r="N79" s="10" t="str">
        <f>IFERROR(VLOOKUP(M79,[1]DESC!A:B,2,FALSE),"")</f>
        <v/>
      </c>
      <c r="O79" s="9"/>
      <c r="P79" s="9"/>
      <c r="Q79" s="9"/>
      <c r="R79" s="9"/>
      <c r="S79" s="9"/>
      <c r="T79" s="11"/>
      <c r="U79" s="12" t="s">
        <v>149</v>
      </c>
      <c r="V79" s="12" t="s">
        <v>170</v>
      </c>
      <c r="W79" s="9">
        <v>10</v>
      </c>
      <c r="X79" s="9" t="s">
        <v>39</v>
      </c>
      <c r="Y79" s="9" t="s">
        <v>40</v>
      </c>
      <c r="Z79" s="9" t="s">
        <v>41</v>
      </c>
      <c r="AA79" s="9" t="s">
        <v>42</v>
      </c>
      <c r="AB79" s="9"/>
      <c r="AC79" s="9"/>
    </row>
    <row r="80" spans="1:29" ht="22.5" customHeight="1">
      <c r="A80" s="9" t="s">
        <v>29</v>
      </c>
      <c r="B80" s="9" t="s">
        <v>239</v>
      </c>
      <c r="C80" s="9"/>
      <c r="D80" s="9" t="s">
        <v>31</v>
      </c>
      <c r="E80" s="9" t="s">
        <v>32</v>
      </c>
      <c r="F80" s="9" t="s">
        <v>33</v>
      </c>
      <c r="G80" s="9" t="s">
        <v>34</v>
      </c>
      <c r="H80" s="10" t="s">
        <v>240</v>
      </c>
      <c r="I80" s="9"/>
      <c r="J80" s="9" t="s">
        <v>49</v>
      </c>
      <c r="K80" s="9"/>
      <c r="L80" s="9"/>
      <c r="M80" s="10" t="s">
        <v>241</v>
      </c>
      <c r="N80" s="10" t="str">
        <f>IFERROR(VLOOKUP(M80,[1]DESC!A:B,2,FALSE),"")</f>
        <v/>
      </c>
      <c r="O80" s="9"/>
      <c r="P80" s="9"/>
      <c r="Q80" s="9"/>
      <c r="R80" s="9"/>
      <c r="S80" s="9"/>
      <c r="T80" s="11"/>
      <c r="U80" s="12" t="s">
        <v>57</v>
      </c>
      <c r="V80" s="12" t="s">
        <v>53</v>
      </c>
      <c r="W80" s="9">
        <v>10</v>
      </c>
      <c r="X80" s="9" t="s">
        <v>39</v>
      </c>
      <c r="Y80" s="9" t="s">
        <v>40</v>
      </c>
      <c r="Z80" s="9" t="s">
        <v>41</v>
      </c>
      <c r="AA80" s="9" t="s">
        <v>42</v>
      </c>
      <c r="AB80" s="9"/>
      <c r="AC80" s="9"/>
    </row>
    <row r="81" spans="1:29" ht="22.5" customHeight="1">
      <c r="A81" s="9" t="s">
        <v>29</v>
      </c>
      <c r="B81" s="9" t="s">
        <v>239</v>
      </c>
      <c r="C81" s="9"/>
      <c r="D81" s="9" t="s">
        <v>31</v>
      </c>
      <c r="E81" s="9" t="s">
        <v>32</v>
      </c>
      <c r="F81" s="9" t="s">
        <v>33</v>
      </c>
      <c r="G81" s="9" t="s">
        <v>34</v>
      </c>
      <c r="H81" s="10" t="s">
        <v>242</v>
      </c>
      <c r="I81" s="9"/>
      <c r="J81" s="9" t="s">
        <v>49</v>
      </c>
      <c r="K81" s="9"/>
      <c r="L81" s="9"/>
      <c r="M81" s="10" t="s">
        <v>241</v>
      </c>
      <c r="N81" s="10" t="str">
        <f>IFERROR(VLOOKUP(M81,[1]DESC!A:B,2,FALSE),"")</f>
        <v/>
      </c>
      <c r="O81" s="9"/>
      <c r="P81" s="9"/>
      <c r="Q81" s="9"/>
      <c r="R81" s="9"/>
      <c r="S81" s="9"/>
      <c r="T81" s="11"/>
      <c r="U81" s="12" t="s">
        <v>57</v>
      </c>
      <c r="V81" s="12" t="s">
        <v>53</v>
      </c>
      <c r="W81" s="9">
        <v>10</v>
      </c>
      <c r="X81" s="9" t="s">
        <v>39</v>
      </c>
      <c r="Y81" s="9" t="s">
        <v>40</v>
      </c>
      <c r="Z81" s="9" t="s">
        <v>41</v>
      </c>
      <c r="AA81" s="9" t="s">
        <v>42</v>
      </c>
      <c r="AB81" s="9"/>
      <c r="AC81" s="9"/>
    </row>
    <row r="82" spans="1:29" ht="22.5" customHeight="1">
      <c r="A82" s="9" t="s">
        <v>73</v>
      </c>
      <c r="B82" s="9" t="s">
        <v>243</v>
      </c>
      <c r="C82" s="9" t="s">
        <v>75</v>
      </c>
      <c r="D82" s="9" t="s">
        <v>76</v>
      </c>
      <c r="E82" s="9"/>
      <c r="F82" s="9"/>
      <c r="G82" s="9">
        <v>1</v>
      </c>
      <c r="H82" s="10"/>
      <c r="I82" s="9"/>
      <c r="J82" s="9" t="s">
        <v>244</v>
      </c>
      <c r="K82" s="9"/>
      <c r="L82" s="9"/>
      <c r="M82" s="10" t="s">
        <v>245</v>
      </c>
      <c r="N82" s="10" t="s">
        <v>246</v>
      </c>
      <c r="O82" s="9" t="s">
        <v>81</v>
      </c>
      <c r="P82" s="9" t="s">
        <v>82</v>
      </c>
      <c r="Q82" s="9" t="s">
        <v>83</v>
      </c>
      <c r="R82" s="9" t="s">
        <v>84</v>
      </c>
      <c r="S82" s="9" t="s">
        <v>85</v>
      </c>
      <c r="T82" s="11" t="s">
        <v>86</v>
      </c>
      <c r="U82" s="12" t="s">
        <v>139</v>
      </c>
      <c r="V82" s="12" t="s">
        <v>136</v>
      </c>
      <c r="W82" s="9">
        <v>0</v>
      </c>
      <c r="X82" s="9" t="s">
        <v>84</v>
      </c>
      <c r="Y82" s="9" t="s">
        <v>85</v>
      </c>
      <c r="Z82" s="9" t="s">
        <v>86</v>
      </c>
      <c r="AA82" s="9" t="s">
        <v>89</v>
      </c>
      <c r="AB82" s="12" t="s">
        <v>136</v>
      </c>
      <c r="AC82" s="9">
        <v>42</v>
      </c>
    </row>
    <row r="83" spans="1:29" ht="22.5" customHeight="1">
      <c r="A83" s="9" t="s">
        <v>73</v>
      </c>
      <c r="B83" s="9" t="s">
        <v>247</v>
      </c>
      <c r="C83" s="9" t="s">
        <v>75</v>
      </c>
      <c r="D83" s="9" t="s">
        <v>76</v>
      </c>
      <c r="E83" s="9"/>
      <c r="F83" s="9"/>
      <c r="G83" s="9">
        <v>1</v>
      </c>
      <c r="H83" s="10"/>
      <c r="I83" s="9"/>
      <c r="J83" s="9" t="s">
        <v>244</v>
      </c>
      <c r="K83" s="9"/>
      <c r="L83" s="9"/>
      <c r="M83" s="10" t="s">
        <v>248</v>
      </c>
      <c r="N83" s="10" t="s">
        <v>249</v>
      </c>
      <c r="O83" s="9" t="s">
        <v>81</v>
      </c>
      <c r="P83" s="9" t="s">
        <v>82</v>
      </c>
      <c r="Q83" s="9" t="s">
        <v>83</v>
      </c>
      <c r="R83" s="9" t="s">
        <v>84</v>
      </c>
      <c r="S83" s="9" t="s">
        <v>85</v>
      </c>
      <c r="T83" s="11" t="s">
        <v>86</v>
      </c>
      <c r="U83" s="12" t="s">
        <v>139</v>
      </c>
      <c r="V83" s="12" t="s">
        <v>136</v>
      </c>
      <c r="W83" s="9">
        <v>0</v>
      </c>
      <c r="X83" s="9" t="s">
        <v>84</v>
      </c>
      <c r="Y83" s="9" t="s">
        <v>85</v>
      </c>
      <c r="Z83" s="9" t="s">
        <v>86</v>
      </c>
      <c r="AA83" s="9" t="s">
        <v>89</v>
      </c>
      <c r="AB83" s="12" t="s">
        <v>136</v>
      </c>
      <c r="AC83" s="9">
        <v>43</v>
      </c>
    </row>
    <row r="84" spans="1:29" ht="22.5" customHeight="1">
      <c r="A84" s="9" t="s">
        <v>73</v>
      </c>
      <c r="B84" s="9" t="s">
        <v>250</v>
      </c>
      <c r="C84" s="9" t="s">
        <v>75</v>
      </c>
      <c r="D84" s="9" t="s">
        <v>76</v>
      </c>
      <c r="E84" s="9"/>
      <c r="F84" s="9"/>
      <c r="G84" s="9">
        <v>1</v>
      </c>
      <c r="H84" s="10"/>
      <c r="I84" s="9"/>
      <c r="J84" s="9" t="s">
        <v>244</v>
      </c>
      <c r="K84" s="9"/>
      <c r="L84" s="9"/>
      <c r="M84" s="10" t="s">
        <v>251</v>
      </c>
      <c r="N84" s="10" t="s">
        <v>252</v>
      </c>
      <c r="O84" s="9" t="s">
        <v>81</v>
      </c>
      <c r="P84" s="9" t="s">
        <v>82</v>
      </c>
      <c r="Q84" s="9" t="s">
        <v>83</v>
      </c>
      <c r="R84" s="9" t="s">
        <v>84</v>
      </c>
      <c r="S84" s="9" t="s">
        <v>85</v>
      </c>
      <c r="T84" s="11" t="s">
        <v>86</v>
      </c>
      <c r="U84" s="12" t="s">
        <v>139</v>
      </c>
      <c r="V84" s="12" t="s">
        <v>136</v>
      </c>
      <c r="W84" s="9">
        <v>0</v>
      </c>
      <c r="X84" s="9" t="s">
        <v>84</v>
      </c>
      <c r="Y84" s="9" t="s">
        <v>85</v>
      </c>
      <c r="Z84" s="9" t="s">
        <v>86</v>
      </c>
      <c r="AA84" s="9" t="s">
        <v>89</v>
      </c>
      <c r="AB84" s="12" t="s">
        <v>136</v>
      </c>
      <c r="AC84" s="9">
        <v>44</v>
      </c>
    </row>
    <row r="85" spans="1:29" ht="22.5" customHeight="1">
      <c r="A85" s="9" t="s">
        <v>73</v>
      </c>
      <c r="B85" s="9" t="s">
        <v>253</v>
      </c>
      <c r="C85" s="9" t="s">
        <v>75</v>
      </c>
      <c r="D85" s="9" t="s">
        <v>76</v>
      </c>
      <c r="E85" s="9"/>
      <c r="F85" s="9"/>
      <c r="G85" s="9">
        <v>1</v>
      </c>
      <c r="H85" s="10"/>
      <c r="I85" s="9"/>
      <c r="J85" s="9" t="s">
        <v>244</v>
      </c>
      <c r="K85" s="9"/>
      <c r="L85" s="9"/>
      <c r="M85" s="10" t="s">
        <v>254</v>
      </c>
      <c r="N85" s="10" t="s">
        <v>255</v>
      </c>
      <c r="O85" s="9" t="s">
        <v>81</v>
      </c>
      <c r="P85" s="9" t="s">
        <v>82</v>
      </c>
      <c r="Q85" s="9" t="s">
        <v>83</v>
      </c>
      <c r="R85" s="9" t="s">
        <v>84</v>
      </c>
      <c r="S85" s="9" t="s">
        <v>85</v>
      </c>
      <c r="T85" s="11" t="s">
        <v>86</v>
      </c>
      <c r="U85" s="12" t="s">
        <v>139</v>
      </c>
      <c r="V85" s="12" t="s">
        <v>136</v>
      </c>
      <c r="W85" s="9">
        <v>0</v>
      </c>
      <c r="X85" s="9" t="s">
        <v>84</v>
      </c>
      <c r="Y85" s="9" t="s">
        <v>85</v>
      </c>
      <c r="Z85" s="9" t="s">
        <v>86</v>
      </c>
      <c r="AA85" s="9" t="s">
        <v>89</v>
      </c>
      <c r="AB85" s="12" t="s">
        <v>136</v>
      </c>
      <c r="AC85" s="9">
        <v>45</v>
      </c>
    </row>
    <row r="86" spans="1:29" ht="22.5" customHeight="1">
      <c r="A86" s="9" t="s">
        <v>141</v>
      </c>
      <c r="B86" s="9" t="s">
        <v>256</v>
      </c>
      <c r="C86" s="9" t="s">
        <v>113</v>
      </c>
      <c r="D86" s="9" t="s">
        <v>31</v>
      </c>
      <c r="E86" s="9"/>
      <c r="F86" s="9"/>
      <c r="G86" s="9" t="s">
        <v>34</v>
      </c>
      <c r="H86" s="10"/>
      <c r="I86" s="9"/>
      <c r="J86" s="9" t="s">
        <v>257</v>
      </c>
      <c r="K86" s="9"/>
      <c r="L86" s="9"/>
      <c r="M86" s="10" t="s">
        <v>258</v>
      </c>
      <c r="N86" s="10" t="str">
        <f>IFERROR(VLOOKUP(M86,[1]DESC!A:B,2,FALSE),"")</f>
        <v/>
      </c>
      <c r="O86" s="9" t="s">
        <v>116</v>
      </c>
      <c r="P86" s="9" t="s">
        <v>117</v>
      </c>
      <c r="Q86" s="9" t="s">
        <v>118</v>
      </c>
      <c r="R86" s="9" t="s">
        <v>119</v>
      </c>
      <c r="S86" s="9" t="s">
        <v>120</v>
      </c>
      <c r="T86" s="11" t="s">
        <v>121</v>
      </c>
      <c r="U86" s="12" t="s">
        <v>259</v>
      </c>
      <c r="V86" s="12" t="s">
        <v>260</v>
      </c>
      <c r="W86" s="9">
        <v>10</v>
      </c>
      <c r="X86" s="9" t="s">
        <v>39</v>
      </c>
      <c r="Y86" s="9" t="s">
        <v>40</v>
      </c>
      <c r="Z86" s="9" t="s">
        <v>41</v>
      </c>
      <c r="AA86" s="9" t="s">
        <v>42</v>
      </c>
      <c r="AB86" s="9"/>
      <c r="AC86" s="9"/>
    </row>
    <row r="87" spans="1:29" ht="22.5" customHeight="1">
      <c r="A87" s="9" t="s">
        <v>73</v>
      </c>
      <c r="B87" s="9" t="s">
        <v>261</v>
      </c>
      <c r="C87" s="9" t="s">
        <v>75</v>
      </c>
      <c r="D87" s="9" t="s">
        <v>76</v>
      </c>
      <c r="E87" s="9"/>
      <c r="F87" s="9"/>
      <c r="G87" s="9">
        <v>1</v>
      </c>
      <c r="H87" s="10"/>
      <c r="I87" s="9"/>
      <c r="J87" s="9" t="s">
        <v>262</v>
      </c>
      <c r="K87" s="9"/>
      <c r="L87" s="9"/>
      <c r="M87" s="10" t="s">
        <v>263</v>
      </c>
      <c r="N87" s="10" t="s">
        <v>264</v>
      </c>
      <c r="O87" s="9" t="s">
        <v>81</v>
      </c>
      <c r="P87" s="9" t="s">
        <v>82</v>
      </c>
      <c r="Q87" s="9" t="s">
        <v>83</v>
      </c>
      <c r="R87" s="9" t="s">
        <v>84</v>
      </c>
      <c r="S87" s="9" t="s">
        <v>85</v>
      </c>
      <c r="T87" s="11" t="s">
        <v>86</v>
      </c>
      <c r="U87" s="12" t="s">
        <v>265</v>
      </c>
      <c r="V87" s="12" t="s">
        <v>136</v>
      </c>
      <c r="W87" s="9">
        <v>0</v>
      </c>
      <c r="X87" s="9" t="s">
        <v>84</v>
      </c>
      <c r="Y87" s="9" t="s">
        <v>85</v>
      </c>
      <c r="Z87" s="9" t="s">
        <v>86</v>
      </c>
      <c r="AA87" s="9" t="s">
        <v>89</v>
      </c>
      <c r="AB87" s="12" t="s">
        <v>136</v>
      </c>
      <c r="AC87" s="9">
        <v>46</v>
      </c>
    </row>
    <row r="88" spans="1:29" ht="22.5" customHeight="1">
      <c r="A88" s="9" t="s">
        <v>141</v>
      </c>
      <c r="B88" s="9" t="s">
        <v>266</v>
      </c>
      <c r="C88" s="9" t="s">
        <v>75</v>
      </c>
      <c r="D88" s="9" t="s">
        <v>31</v>
      </c>
      <c r="E88" s="9"/>
      <c r="F88" s="9"/>
      <c r="G88" s="9" t="s">
        <v>34</v>
      </c>
      <c r="H88" s="10"/>
      <c r="I88" s="9"/>
      <c r="J88" s="9" t="s">
        <v>262</v>
      </c>
      <c r="K88" s="9"/>
      <c r="L88" s="9"/>
      <c r="M88" s="10" t="s">
        <v>254</v>
      </c>
      <c r="N88" s="10" t="str">
        <f>IFERROR(VLOOKUP(M88,[1]DESC!A:B,2,FALSE),"")</f>
        <v/>
      </c>
      <c r="O88" s="9" t="s">
        <v>81</v>
      </c>
      <c r="P88" s="9" t="s">
        <v>82</v>
      </c>
      <c r="Q88" s="9" t="s">
        <v>83</v>
      </c>
      <c r="R88" s="9" t="s">
        <v>84</v>
      </c>
      <c r="S88" s="9" t="s">
        <v>85</v>
      </c>
      <c r="T88" s="11" t="s">
        <v>86</v>
      </c>
      <c r="U88" s="12" t="s">
        <v>139</v>
      </c>
      <c r="V88" s="12" t="s">
        <v>260</v>
      </c>
      <c r="W88" s="9">
        <v>10</v>
      </c>
      <c r="X88" s="9" t="s">
        <v>39</v>
      </c>
      <c r="Y88" s="9" t="s">
        <v>40</v>
      </c>
      <c r="Z88" s="9" t="s">
        <v>41</v>
      </c>
      <c r="AA88" s="9" t="s">
        <v>42</v>
      </c>
      <c r="AB88" s="9"/>
      <c r="AC88" s="9"/>
    </row>
    <row r="89" spans="1:29" ht="22.5" customHeight="1">
      <c r="A89" s="9" t="s">
        <v>73</v>
      </c>
      <c r="B89" s="9" t="s">
        <v>267</v>
      </c>
      <c r="C89" s="9" t="s">
        <v>113</v>
      </c>
      <c r="D89" s="9" t="s">
        <v>76</v>
      </c>
      <c r="E89" s="9"/>
      <c r="F89" s="9"/>
      <c r="G89" s="9">
        <v>1</v>
      </c>
      <c r="H89" s="10"/>
      <c r="I89" s="9"/>
      <c r="J89" s="9" t="s">
        <v>268</v>
      </c>
      <c r="K89" s="9"/>
      <c r="L89" s="9"/>
      <c r="M89" s="10" t="s">
        <v>269</v>
      </c>
      <c r="N89" s="10" t="s">
        <v>270</v>
      </c>
      <c r="O89" s="9" t="s">
        <v>116</v>
      </c>
      <c r="P89" s="9" t="s">
        <v>117</v>
      </c>
      <c r="Q89" s="9" t="s">
        <v>118</v>
      </c>
      <c r="R89" s="9" t="s">
        <v>119</v>
      </c>
      <c r="S89" s="9" t="s">
        <v>120</v>
      </c>
      <c r="T89" s="11" t="s">
        <v>121</v>
      </c>
      <c r="U89" s="12" t="s">
        <v>259</v>
      </c>
      <c r="V89" s="12" t="s">
        <v>150</v>
      </c>
      <c r="W89" s="9">
        <v>0</v>
      </c>
      <c r="X89" s="9" t="s">
        <v>119</v>
      </c>
      <c r="Y89" s="9" t="s">
        <v>120</v>
      </c>
      <c r="Z89" s="9" t="s">
        <v>121</v>
      </c>
      <c r="AA89" s="9" t="s">
        <v>271</v>
      </c>
      <c r="AB89" s="12" t="s">
        <v>136</v>
      </c>
      <c r="AC89" s="9">
        <v>71</v>
      </c>
    </row>
    <row r="90" spans="1:29" ht="22.5" customHeight="1">
      <c r="A90" s="9" t="s">
        <v>141</v>
      </c>
      <c r="B90" s="9" t="s">
        <v>272</v>
      </c>
      <c r="C90" s="9" t="s">
        <v>113</v>
      </c>
      <c r="D90" s="9" t="s">
        <v>31</v>
      </c>
      <c r="E90" s="9"/>
      <c r="F90" s="9"/>
      <c r="G90" s="9" t="s">
        <v>34</v>
      </c>
      <c r="H90" s="10"/>
      <c r="I90" s="9"/>
      <c r="J90" s="9" t="s">
        <v>268</v>
      </c>
      <c r="K90" s="9"/>
      <c r="L90" s="9"/>
      <c r="M90" s="10" t="s">
        <v>273</v>
      </c>
      <c r="N90" s="10" t="str">
        <f>IFERROR(VLOOKUP(M90,[1]DESC!A:B,2,FALSE),"")</f>
        <v/>
      </c>
      <c r="O90" s="9" t="s">
        <v>116</v>
      </c>
      <c r="P90" s="9" t="s">
        <v>117</v>
      </c>
      <c r="Q90" s="9" t="s">
        <v>118</v>
      </c>
      <c r="R90" s="9" t="s">
        <v>119</v>
      </c>
      <c r="S90" s="9" t="s">
        <v>120</v>
      </c>
      <c r="T90" s="11" t="s">
        <v>121</v>
      </c>
      <c r="U90" s="12" t="s">
        <v>259</v>
      </c>
      <c r="V90" s="12" t="s">
        <v>260</v>
      </c>
      <c r="W90" s="9">
        <v>10</v>
      </c>
      <c r="X90" s="9" t="s">
        <v>39</v>
      </c>
      <c r="Y90" s="9" t="s">
        <v>40</v>
      </c>
      <c r="Z90" s="9" t="s">
        <v>41</v>
      </c>
      <c r="AA90" s="9" t="s">
        <v>42</v>
      </c>
      <c r="AB90" s="9"/>
      <c r="AC90" s="9"/>
    </row>
    <row r="91" spans="1:29" ht="22.5" customHeight="1">
      <c r="A91" s="9" t="s">
        <v>29</v>
      </c>
      <c r="B91" s="9" t="s">
        <v>274</v>
      </c>
      <c r="C91" s="9"/>
      <c r="D91" s="9" t="s">
        <v>31</v>
      </c>
      <c r="E91" s="9" t="s">
        <v>44</v>
      </c>
      <c r="F91" s="9" t="s">
        <v>33</v>
      </c>
      <c r="G91" s="9" t="s">
        <v>34</v>
      </c>
      <c r="H91" s="10"/>
      <c r="I91" s="9"/>
      <c r="J91" s="9" t="s">
        <v>49</v>
      </c>
      <c r="K91" s="9"/>
      <c r="L91" s="9"/>
      <c r="M91" s="10" t="s">
        <v>275</v>
      </c>
      <c r="N91" s="10" t="str">
        <f>IFERROR(VLOOKUP(M91,[1]DESC!A:B,2,FALSE),"")</f>
        <v/>
      </c>
      <c r="O91" s="9"/>
      <c r="P91" s="9"/>
      <c r="Q91" s="9"/>
      <c r="R91" s="9"/>
      <c r="S91" s="9"/>
      <c r="T91" s="11"/>
      <c r="U91" s="12" t="s">
        <v>37</v>
      </c>
      <c r="V91" s="12" t="s">
        <v>53</v>
      </c>
      <c r="W91" s="9">
        <v>10</v>
      </c>
      <c r="X91" s="9" t="s">
        <v>39</v>
      </c>
      <c r="Y91" s="9" t="s">
        <v>40</v>
      </c>
      <c r="Z91" s="9" t="s">
        <v>41</v>
      </c>
      <c r="AA91" s="9" t="s">
        <v>42</v>
      </c>
      <c r="AB91" s="9"/>
      <c r="AC91" s="9"/>
    </row>
    <row r="92" spans="1:29" ht="22.5" customHeight="1">
      <c r="A92" s="9" t="s">
        <v>29</v>
      </c>
      <c r="B92" s="9" t="s">
        <v>276</v>
      </c>
      <c r="C92" s="9"/>
      <c r="D92" s="9" t="s">
        <v>31</v>
      </c>
      <c r="E92" s="9" t="s">
        <v>44</v>
      </c>
      <c r="F92" s="9" t="s">
        <v>33</v>
      </c>
      <c r="G92" s="9" t="s">
        <v>34</v>
      </c>
      <c r="H92" s="10"/>
      <c r="I92" s="9"/>
      <c r="J92" s="9" t="s">
        <v>49</v>
      </c>
      <c r="K92" s="9"/>
      <c r="L92" s="9"/>
      <c r="M92" s="10" t="s">
        <v>277</v>
      </c>
      <c r="N92" s="10" t="str">
        <f>IFERROR(VLOOKUP(M92,[1]DESC!A:B,2,FALSE),"")</f>
        <v/>
      </c>
      <c r="O92" s="9"/>
      <c r="P92" s="9"/>
      <c r="Q92" s="9"/>
      <c r="R92" s="9"/>
      <c r="S92" s="9"/>
      <c r="T92" s="11"/>
      <c r="U92" s="12" t="s">
        <v>37</v>
      </c>
      <c r="V92" s="12" t="s">
        <v>52</v>
      </c>
      <c r="W92" s="9">
        <v>10</v>
      </c>
      <c r="X92" s="9" t="s">
        <v>39</v>
      </c>
      <c r="Y92" s="9" t="s">
        <v>40</v>
      </c>
      <c r="Z92" s="9" t="s">
        <v>41</v>
      </c>
      <c r="AA92" s="9" t="s">
        <v>42</v>
      </c>
      <c r="AB92" s="9"/>
      <c r="AC92" s="9"/>
    </row>
    <row r="93" spans="1:29" ht="22.5" customHeight="1">
      <c r="A93" s="9" t="s">
        <v>29</v>
      </c>
      <c r="B93" s="9" t="s">
        <v>278</v>
      </c>
      <c r="C93" s="9"/>
      <c r="D93" s="9" t="s">
        <v>31</v>
      </c>
      <c r="E93" s="9" t="s">
        <v>32</v>
      </c>
      <c r="F93" s="9" t="s">
        <v>33</v>
      </c>
      <c r="G93" s="9" t="s">
        <v>34</v>
      </c>
      <c r="H93" s="10"/>
      <c r="I93" s="9"/>
      <c r="J93" s="9" t="s">
        <v>49</v>
      </c>
      <c r="K93" s="9"/>
      <c r="L93" s="9"/>
      <c r="M93" s="10" t="s">
        <v>279</v>
      </c>
      <c r="N93" s="10" t="str">
        <f>IFERROR(VLOOKUP(M93,[1]DESC!A:B,2,FALSE),"")</f>
        <v/>
      </c>
      <c r="O93" s="9"/>
      <c r="P93" s="9"/>
      <c r="Q93" s="9"/>
      <c r="R93" s="9"/>
      <c r="S93" s="9"/>
      <c r="T93" s="11"/>
      <c r="U93" s="12" t="s">
        <v>37</v>
      </c>
      <c r="V93" s="12" t="s">
        <v>47</v>
      </c>
      <c r="W93" s="9">
        <v>10</v>
      </c>
      <c r="X93" s="9" t="s">
        <v>39</v>
      </c>
      <c r="Y93" s="9" t="s">
        <v>40</v>
      </c>
      <c r="Z93" s="9" t="s">
        <v>41</v>
      </c>
      <c r="AA93" s="9" t="s">
        <v>42</v>
      </c>
      <c r="AB93" s="9"/>
      <c r="AC93" s="9"/>
    </row>
    <row r="94" spans="1:29" ht="22.5" customHeight="1">
      <c r="A94" s="9" t="s">
        <v>141</v>
      </c>
      <c r="B94" s="9" t="s">
        <v>280</v>
      </c>
      <c r="C94" s="9" t="s">
        <v>75</v>
      </c>
      <c r="D94" s="9" t="s">
        <v>31</v>
      </c>
      <c r="E94" s="9"/>
      <c r="F94" s="9"/>
      <c r="G94" s="9" t="s">
        <v>34</v>
      </c>
      <c r="H94" s="10"/>
      <c r="I94" s="9"/>
      <c r="J94" s="9" t="s">
        <v>77</v>
      </c>
      <c r="K94" s="13" t="s">
        <v>78</v>
      </c>
      <c r="L94" s="9"/>
      <c r="M94" s="10" t="s">
        <v>281</v>
      </c>
      <c r="N94" s="10" t="str">
        <f>IFERROR(VLOOKUP(M94,[1]DESC!A:B,2,FALSE),"")</f>
        <v/>
      </c>
      <c r="O94" s="9" t="s">
        <v>81</v>
      </c>
      <c r="P94" s="9" t="s">
        <v>82</v>
      </c>
      <c r="Q94" s="9" t="s">
        <v>83</v>
      </c>
      <c r="R94" s="9" t="s">
        <v>84</v>
      </c>
      <c r="S94" s="9" t="s">
        <v>85</v>
      </c>
      <c r="T94" s="11" t="s">
        <v>86</v>
      </c>
      <c r="U94" s="12" t="s">
        <v>282</v>
      </c>
      <c r="V94" s="12" t="s">
        <v>260</v>
      </c>
      <c r="W94" s="9">
        <v>10</v>
      </c>
      <c r="X94" s="9" t="s">
        <v>39</v>
      </c>
      <c r="Y94" s="9" t="s">
        <v>40</v>
      </c>
      <c r="Z94" s="9" t="s">
        <v>41</v>
      </c>
      <c r="AA94" s="9" t="s">
        <v>42</v>
      </c>
      <c r="AB94" s="9"/>
      <c r="AC94" s="9"/>
    </row>
    <row r="95" spans="1:29" ht="22.5" customHeight="1">
      <c r="A95" s="9" t="s">
        <v>73</v>
      </c>
      <c r="B95" s="9" t="s">
        <v>283</v>
      </c>
      <c r="C95" s="9" t="s">
        <v>113</v>
      </c>
      <c r="D95" s="9" t="s">
        <v>76</v>
      </c>
      <c r="E95" s="9"/>
      <c r="F95" s="9"/>
      <c r="G95" s="9">
        <v>1</v>
      </c>
      <c r="H95" s="10"/>
      <c r="I95" s="9"/>
      <c r="J95" s="9" t="s">
        <v>77</v>
      </c>
      <c r="K95" s="13" t="s">
        <v>78</v>
      </c>
      <c r="L95" s="9"/>
      <c r="M95" s="10" t="s">
        <v>284</v>
      </c>
      <c r="N95" s="10" t="s">
        <v>285</v>
      </c>
      <c r="O95" s="9" t="s">
        <v>116</v>
      </c>
      <c r="P95" s="9" t="s">
        <v>117</v>
      </c>
      <c r="Q95" s="9" t="s">
        <v>118</v>
      </c>
      <c r="R95" s="9" t="s">
        <v>119</v>
      </c>
      <c r="S95" s="9" t="s">
        <v>120</v>
      </c>
      <c r="T95" s="11" t="s">
        <v>121</v>
      </c>
      <c r="U95" s="12" t="s">
        <v>87</v>
      </c>
      <c r="V95" s="12" t="s">
        <v>286</v>
      </c>
      <c r="W95" s="9">
        <v>0</v>
      </c>
      <c r="X95" s="9" t="s">
        <v>119</v>
      </c>
      <c r="Y95" s="9" t="s">
        <v>120</v>
      </c>
      <c r="Z95" s="9" t="s">
        <v>121</v>
      </c>
      <c r="AA95" s="9" t="s">
        <v>271</v>
      </c>
      <c r="AB95" s="12" t="s">
        <v>128</v>
      </c>
      <c r="AC95" s="9">
        <v>27</v>
      </c>
    </row>
    <row r="96" spans="1:29" ht="22.5" customHeight="1">
      <c r="A96" s="9" t="s">
        <v>141</v>
      </c>
      <c r="B96" s="9" t="s">
        <v>287</v>
      </c>
      <c r="C96" s="9" t="s">
        <v>75</v>
      </c>
      <c r="D96" s="9" t="s">
        <v>31</v>
      </c>
      <c r="E96" s="9"/>
      <c r="F96" s="9"/>
      <c r="G96" s="9" t="s">
        <v>34</v>
      </c>
      <c r="H96" s="10"/>
      <c r="I96" s="9"/>
      <c r="J96" s="9" t="s">
        <v>77</v>
      </c>
      <c r="K96" s="13" t="s">
        <v>78</v>
      </c>
      <c r="L96" s="9"/>
      <c r="M96" s="10" t="s">
        <v>288</v>
      </c>
      <c r="N96" s="10" t="str">
        <f>IFERROR(VLOOKUP(M96,[1]DESC!A:B,2,FALSE),"")</f>
        <v/>
      </c>
      <c r="O96" s="9" t="s">
        <v>81</v>
      </c>
      <c r="P96" s="9" t="s">
        <v>82</v>
      </c>
      <c r="Q96" s="9" t="s">
        <v>83</v>
      </c>
      <c r="R96" s="9" t="s">
        <v>84</v>
      </c>
      <c r="S96" s="9" t="s">
        <v>85</v>
      </c>
      <c r="T96" s="11" t="s">
        <v>86</v>
      </c>
      <c r="U96" s="12" t="s">
        <v>282</v>
      </c>
      <c r="V96" s="12" t="s">
        <v>260</v>
      </c>
      <c r="W96" s="9">
        <v>10</v>
      </c>
      <c r="X96" s="9" t="s">
        <v>39</v>
      </c>
      <c r="Y96" s="9" t="s">
        <v>40</v>
      </c>
      <c r="Z96" s="9" t="s">
        <v>41</v>
      </c>
      <c r="AA96" s="9" t="s">
        <v>42</v>
      </c>
      <c r="AB96" s="9"/>
      <c r="AC96" s="9"/>
    </row>
    <row r="97" spans="1:29" ht="22.5" customHeight="1">
      <c r="A97" s="9" t="s">
        <v>29</v>
      </c>
      <c r="B97" s="9" t="s">
        <v>289</v>
      </c>
      <c r="C97" s="9"/>
      <c r="D97" s="9" t="s">
        <v>31</v>
      </c>
      <c r="E97" s="9" t="s">
        <v>44</v>
      </c>
      <c r="F97" s="9" t="s">
        <v>33</v>
      </c>
      <c r="G97" s="9" t="s">
        <v>34</v>
      </c>
      <c r="H97" s="10" t="s">
        <v>222</v>
      </c>
      <c r="I97" s="9"/>
      <c r="J97" s="9" t="s">
        <v>49</v>
      </c>
      <c r="K97" s="9"/>
      <c r="L97" s="9"/>
      <c r="M97" s="10" t="s">
        <v>290</v>
      </c>
      <c r="N97" s="10" t="str">
        <f>IFERROR(VLOOKUP(M97,[1]DESC!A:B,2,FALSE),"")</f>
        <v/>
      </c>
      <c r="O97" s="9"/>
      <c r="P97" s="9"/>
      <c r="Q97" s="9"/>
      <c r="R97" s="9"/>
      <c r="S97" s="9"/>
      <c r="T97" s="11"/>
      <c r="U97" s="12" t="s">
        <v>57</v>
      </c>
      <c r="V97" s="12" t="s">
        <v>206</v>
      </c>
      <c r="W97" s="9">
        <v>10</v>
      </c>
      <c r="X97" s="9" t="s">
        <v>39</v>
      </c>
      <c r="Y97" s="9" t="s">
        <v>40</v>
      </c>
      <c r="Z97" s="9" t="s">
        <v>41</v>
      </c>
      <c r="AA97" s="9" t="s">
        <v>42</v>
      </c>
      <c r="AB97" s="9"/>
      <c r="AC97" s="9"/>
    </row>
    <row r="98" spans="1:29" ht="22.5" customHeight="1">
      <c r="A98" s="9" t="s">
        <v>29</v>
      </c>
      <c r="B98" s="9" t="s">
        <v>289</v>
      </c>
      <c r="C98" s="9"/>
      <c r="D98" s="9" t="s">
        <v>31</v>
      </c>
      <c r="E98" s="9" t="s">
        <v>44</v>
      </c>
      <c r="F98" s="9" t="s">
        <v>33</v>
      </c>
      <c r="G98" s="9" t="s">
        <v>34</v>
      </c>
      <c r="H98" s="10" t="s">
        <v>222</v>
      </c>
      <c r="I98" s="9"/>
      <c r="J98" s="9" t="s">
        <v>49</v>
      </c>
      <c r="K98" s="9"/>
      <c r="L98" s="9"/>
      <c r="M98" s="10" t="s">
        <v>290</v>
      </c>
      <c r="N98" s="10" t="str">
        <f>IFERROR(VLOOKUP(M98,[1]DESC!A:B,2,FALSE),"")</f>
        <v/>
      </c>
      <c r="O98" s="9"/>
      <c r="P98" s="9"/>
      <c r="Q98" s="9"/>
      <c r="R98" s="9"/>
      <c r="S98" s="9"/>
      <c r="T98" s="11"/>
      <c r="U98" s="12" t="s">
        <v>57</v>
      </c>
      <c r="V98" s="12" t="s">
        <v>206</v>
      </c>
      <c r="W98" s="9">
        <v>10</v>
      </c>
      <c r="X98" s="9" t="s">
        <v>39</v>
      </c>
      <c r="Y98" s="9" t="s">
        <v>40</v>
      </c>
      <c r="Z98" s="9" t="s">
        <v>41</v>
      </c>
      <c r="AA98" s="9" t="s">
        <v>42</v>
      </c>
      <c r="AB98" s="9"/>
      <c r="AC98" s="9"/>
    </row>
    <row r="99" spans="1:29" ht="22.5" customHeight="1">
      <c r="A99" s="9" t="s">
        <v>141</v>
      </c>
      <c r="B99" s="9" t="s">
        <v>143</v>
      </c>
      <c r="C99" s="9" t="s">
        <v>113</v>
      </c>
      <c r="D99" s="9" t="s">
        <v>76</v>
      </c>
      <c r="E99" s="9" t="s">
        <v>32</v>
      </c>
      <c r="F99" s="9"/>
      <c r="G99" s="9">
        <v>2</v>
      </c>
      <c r="H99" s="10" t="s">
        <v>142</v>
      </c>
      <c r="I99" s="9" t="s">
        <v>291</v>
      </c>
      <c r="J99" s="9" t="s">
        <v>144</v>
      </c>
      <c r="K99" s="9"/>
      <c r="L99" s="9"/>
      <c r="M99" s="10" t="s">
        <v>292</v>
      </c>
      <c r="N99" s="10" t="str">
        <f>IFERROR(VLOOKUP(M99,[1]DESC!A:B,2,FALSE),"")</f>
        <v/>
      </c>
      <c r="O99" s="9" t="s">
        <v>116</v>
      </c>
      <c r="P99" s="9" t="s">
        <v>117</v>
      </c>
      <c r="Q99" s="9" t="s">
        <v>118</v>
      </c>
      <c r="R99" s="9" t="s">
        <v>146</v>
      </c>
      <c r="S99" s="9" t="s">
        <v>147</v>
      </c>
      <c r="T99" s="11" t="s">
        <v>148</v>
      </c>
      <c r="U99" s="12" t="s">
        <v>156</v>
      </c>
      <c r="V99" s="12" t="s">
        <v>182</v>
      </c>
      <c r="W99" s="9">
        <v>0</v>
      </c>
      <c r="X99" s="9" t="s">
        <v>39</v>
      </c>
      <c r="Y99" s="9" t="s">
        <v>40</v>
      </c>
      <c r="Z99" s="9" t="s">
        <v>41</v>
      </c>
      <c r="AA99" s="9" t="s">
        <v>42</v>
      </c>
      <c r="AB99" s="12" t="s">
        <v>136</v>
      </c>
      <c r="AC99" s="9">
        <v>67</v>
      </c>
    </row>
    <row r="100" spans="1:29" ht="22.5" customHeight="1">
      <c r="A100" s="9" t="s">
        <v>141</v>
      </c>
      <c r="B100" s="9" t="s">
        <v>143</v>
      </c>
      <c r="C100" s="9" t="s">
        <v>113</v>
      </c>
      <c r="D100" s="9" t="s">
        <v>76</v>
      </c>
      <c r="E100" s="9" t="s">
        <v>32</v>
      </c>
      <c r="F100" s="9"/>
      <c r="G100" s="9">
        <v>2</v>
      </c>
      <c r="H100" s="10" t="s">
        <v>154</v>
      </c>
      <c r="I100" s="9" t="s">
        <v>291</v>
      </c>
      <c r="J100" s="9" t="s">
        <v>144</v>
      </c>
      <c r="K100" s="9"/>
      <c r="L100" s="9"/>
      <c r="M100" s="10" t="s">
        <v>292</v>
      </c>
      <c r="N100" s="10" t="str">
        <f>IFERROR(VLOOKUP(M100,[1]DESC!A:B,2,FALSE),"")</f>
        <v/>
      </c>
      <c r="O100" s="9" t="s">
        <v>116</v>
      </c>
      <c r="P100" s="9" t="s">
        <v>117</v>
      </c>
      <c r="Q100" s="9" t="s">
        <v>118</v>
      </c>
      <c r="R100" s="9" t="s">
        <v>146</v>
      </c>
      <c r="S100" s="9" t="s">
        <v>147</v>
      </c>
      <c r="T100" s="11" t="s">
        <v>148</v>
      </c>
      <c r="U100" s="12" t="s">
        <v>156</v>
      </c>
      <c r="V100" s="12" t="s">
        <v>182</v>
      </c>
      <c r="W100" s="9">
        <v>0</v>
      </c>
      <c r="X100" s="9" t="s">
        <v>39</v>
      </c>
      <c r="Y100" s="9" t="s">
        <v>40</v>
      </c>
      <c r="Z100" s="9" t="s">
        <v>41</v>
      </c>
      <c r="AA100" s="9" t="s">
        <v>42</v>
      </c>
      <c r="AB100" s="12" t="s">
        <v>136</v>
      </c>
      <c r="AC100" s="9">
        <v>67</v>
      </c>
    </row>
    <row r="101" spans="1:29" ht="22.5" customHeight="1">
      <c r="A101" s="9" t="s">
        <v>73</v>
      </c>
      <c r="B101" s="9" t="s">
        <v>293</v>
      </c>
      <c r="C101" s="9" t="s">
        <v>113</v>
      </c>
      <c r="D101" s="9" t="s">
        <v>31</v>
      </c>
      <c r="E101" s="9"/>
      <c r="F101" s="9"/>
      <c r="G101" s="9">
        <v>1</v>
      </c>
      <c r="H101" s="10"/>
      <c r="I101" s="9"/>
      <c r="J101" s="9" t="s">
        <v>294</v>
      </c>
      <c r="K101" s="13" t="s">
        <v>78</v>
      </c>
      <c r="L101" s="9"/>
      <c r="M101" s="10" t="s">
        <v>295</v>
      </c>
      <c r="N101" s="10" t="s">
        <v>296</v>
      </c>
      <c r="O101" s="9" t="s">
        <v>116</v>
      </c>
      <c r="P101" s="9" t="s">
        <v>117</v>
      </c>
      <c r="Q101" s="9" t="s">
        <v>118</v>
      </c>
      <c r="R101" s="9" t="s">
        <v>119</v>
      </c>
      <c r="S101" s="9" t="s">
        <v>120</v>
      </c>
      <c r="T101" s="11" t="s">
        <v>121</v>
      </c>
      <c r="U101" s="12" t="s">
        <v>297</v>
      </c>
      <c r="V101" s="12" t="s">
        <v>297</v>
      </c>
      <c r="W101" s="9">
        <v>10</v>
      </c>
      <c r="X101" s="9" t="s">
        <v>39</v>
      </c>
      <c r="Y101" s="9" t="s">
        <v>40</v>
      </c>
      <c r="Z101" s="9" t="s">
        <v>41</v>
      </c>
      <c r="AA101" s="9" t="s">
        <v>42</v>
      </c>
      <c r="AB101" s="9"/>
      <c r="AC101" s="9"/>
    </row>
    <row r="102" spans="1:29" ht="22.5" customHeight="1">
      <c r="A102" s="9" t="s">
        <v>73</v>
      </c>
      <c r="B102" s="9" t="s">
        <v>298</v>
      </c>
      <c r="C102" s="9" t="s">
        <v>75</v>
      </c>
      <c r="D102" s="9" t="s">
        <v>31</v>
      </c>
      <c r="E102" s="9"/>
      <c r="F102" s="9"/>
      <c r="G102" s="9">
        <v>1</v>
      </c>
      <c r="H102" s="10"/>
      <c r="I102" s="9"/>
      <c r="J102" s="9" t="s">
        <v>294</v>
      </c>
      <c r="K102" s="13" t="s">
        <v>78</v>
      </c>
      <c r="L102" s="9"/>
      <c r="M102" s="10" t="s">
        <v>299</v>
      </c>
      <c r="N102" s="10" t="s">
        <v>300</v>
      </c>
      <c r="O102" s="9" t="s">
        <v>81</v>
      </c>
      <c r="P102" s="9" t="s">
        <v>82</v>
      </c>
      <c r="Q102" s="9" t="s">
        <v>83</v>
      </c>
      <c r="R102" s="9" t="s">
        <v>84</v>
      </c>
      <c r="S102" s="9" t="s">
        <v>85</v>
      </c>
      <c r="T102" s="11" t="s">
        <v>86</v>
      </c>
      <c r="U102" s="12" t="s">
        <v>297</v>
      </c>
      <c r="V102" s="12" t="s">
        <v>297</v>
      </c>
      <c r="W102" s="9">
        <v>10</v>
      </c>
      <c r="X102" s="9" t="s">
        <v>39</v>
      </c>
      <c r="Y102" s="9" t="s">
        <v>40</v>
      </c>
      <c r="Z102" s="9" t="s">
        <v>41</v>
      </c>
      <c r="AA102" s="9" t="s">
        <v>42</v>
      </c>
      <c r="AB102" s="9"/>
      <c r="AC102" s="9"/>
    </row>
    <row r="103" spans="1:29" ht="22.5" customHeight="1">
      <c r="A103" s="9" t="s">
        <v>73</v>
      </c>
      <c r="B103" s="9" t="s">
        <v>301</v>
      </c>
      <c r="C103" s="9" t="s">
        <v>113</v>
      </c>
      <c r="D103" s="9" t="s">
        <v>76</v>
      </c>
      <c r="E103" s="9"/>
      <c r="F103" s="9"/>
      <c r="G103" s="9">
        <v>1</v>
      </c>
      <c r="H103" s="10"/>
      <c r="I103" s="9"/>
      <c r="J103" s="9" t="s">
        <v>294</v>
      </c>
      <c r="K103" s="13" t="s">
        <v>78</v>
      </c>
      <c r="L103" s="9"/>
      <c r="M103" s="10" t="s">
        <v>302</v>
      </c>
      <c r="N103" s="10" t="s">
        <v>302</v>
      </c>
      <c r="O103" s="9" t="s">
        <v>116</v>
      </c>
      <c r="P103" s="9" t="s">
        <v>117</v>
      </c>
      <c r="Q103" s="9" t="s">
        <v>118</v>
      </c>
      <c r="R103" s="9" t="s">
        <v>119</v>
      </c>
      <c r="S103" s="9" t="s">
        <v>120</v>
      </c>
      <c r="T103" s="11" t="s">
        <v>121</v>
      </c>
      <c r="U103" s="12" t="s">
        <v>303</v>
      </c>
      <c r="V103" s="12" t="s">
        <v>150</v>
      </c>
      <c r="W103" s="9">
        <v>0</v>
      </c>
      <c r="X103" s="9" t="s">
        <v>119</v>
      </c>
      <c r="Y103" s="9" t="s">
        <v>120</v>
      </c>
      <c r="Z103" s="9" t="s">
        <v>121</v>
      </c>
      <c r="AA103" s="9" t="s">
        <v>271</v>
      </c>
      <c r="AB103" s="12" t="s">
        <v>136</v>
      </c>
      <c r="AC103" s="9">
        <v>72</v>
      </c>
    </row>
    <row r="104" spans="1:29" ht="22.5" customHeight="1">
      <c r="A104" s="9" t="s">
        <v>73</v>
      </c>
      <c r="B104" s="9" t="s">
        <v>304</v>
      </c>
      <c r="C104" s="9" t="s">
        <v>113</v>
      </c>
      <c r="D104" s="9" t="s">
        <v>76</v>
      </c>
      <c r="E104" s="9"/>
      <c r="F104" s="9"/>
      <c r="G104" s="9">
        <v>1</v>
      </c>
      <c r="H104" s="10"/>
      <c r="I104" s="9"/>
      <c r="J104" s="9" t="s">
        <v>294</v>
      </c>
      <c r="K104" s="13" t="s">
        <v>78</v>
      </c>
      <c r="L104" s="9"/>
      <c r="M104" s="10" t="s">
        <v>305</v>
      </c>
      <c r="N104" s="10" t="s">
        <v>306</v>
      </c>
      <c r="O104" s="9" t="s">
        <v>116</v>
      </c>
      <c r="P104" s="9" t="s">
        <v>117</v>
      </c>
      <c r="Q104" s="9" t="s">
        <v>118</v>
      </c>
      <c r="R104" s="9" t="s">
        <v>119</v>
      </c>
      <c r="S104" s="9" t="s">
        <v>120</v>
      </c>
      <c r="T104" s="11" t="s">
        <v>121</v>
      </c>
      <c r="U104" s="12" t="s">
        <v>307</v>
      </c>
      <c r="V104" s="12" t="s">
        <v>150</v>
      </c>
      <c r="W104" s="9">
        <v>0</v>
      </c>
      <c r="X104" s="9" t="s">
        <v>119</v>
      </c>
      <c r="Y104" s="9" t="s">
        <v>120</v>
      </c>
      <c r="Z104" s="9" t="s">
        <v>121</v>
      </c>
      <c r="AA104" s="9" t="s">
        <v>271</v>
      </c>
      <c r="AB104" s="12" t="s">
        <v>136</v>
      </c>
      <c r="AC104" s="9">
        <v>73</v>
      </c>
    </row>
    <row r="105" spans="1:29" ht="22.5" customHeight="1">
      <c r="A105" s="9" t="s">
        <v>73</v>
      </c>
      <c r="B105" s="9" t="s">
        <v>308</v>
      </c>
      <c r="C105" s="9" t="s">
        <v>113</v>
      </c>
      <c r="D105" s="9" t="s">
        <v>31</v>
      </c>
      <c r="E105" s="9"/>
      <c r="F105" s="9"/>
      <c r="G105" s="9">
        <v>1</v>
      </c>
      <c r="H105" s="10"/>
      <c r="I105" s="9"/>
      <c r="J105" s="9" t="s">
        <v>309</v>
      </c>
      <c r="K105" s="13" t="s">
        <v>78</v>
      </c>
      <c r="L105" s="9"/>
      <c r="M105" s="10" t="s">
        <v>310</v>
      </c>
      <c r="N105" s="10" t="s">
        <v>311</v>
      </c>
      <c r="O105" s="9" t="s">
        <v>116</v>
      </c>
      <c r="P105" s="9" t="s">
        <v>117</v>
      </c>
      <c r="Q105" s="9" t="s">
        <v>118</v>
      </c>
      <c r="R105" s="9" t="s">
        <v>119</v>
      </c>
      <c r="S105" s="9" t="s">
        <v>120</v>
      </c>
      <c r="T105" s="11" t="s">
        <v>121</v>
      </c>
      <c r="U105" s="12" t="s">
        <v>297</v>
      </c>
      <c r="V105" s="12" t="s">
        <v>312</v>
      </c>
      <c r="W105" s="9">
        <v>10</v>
      </c>
      <c r="X105" s="9" t="s">
        <v>39</v>
      </c>
      <c r="Y105" s="9" t="s">
        <v>40</v>
      </c>
      <c r="Z105" s="9" t="s">
        <v>41</v>
      </c>
      <c r="AA105" s="9" t="s">
        <v>42</v>
      </c>
      <c r="AB105" s="9"/>
      <c r="AC105" s="9"/>
    </row>
    <row r="106" spans="1:29" ht="22.5" customHeight="1">
      <c r="A106" s="9" t="s">
        <v>73</v>
      </c>
      <c r="B106" s="9" t="s">
        <v>313</v>
      </c>
      <c r="C106" s="9" t="s">
        <v>75</v>
      </c>
      <c r="D106" s="9" t="s">
        <v>31</v>
      </c>
      <c r="E106" s="9"/>
      <c r="F106" s="9"/>
      <c r="G106" s="9">
        <v>1</v>
      </c>
      <c r="H106" s="10"/>
      <c r="I106" s="9"/>
      <c r="J106" s="9" t="s">
        <v>314</v>
      </c>
      <c r="K106" s="13" t="s">
        <v>78</v>
      </c>
      <c r="L106" s="9"/>
      <c r="M106" s="10" t="s">
        <v>310</v>
      </c>
      <c r="N106" s="10" t="s">
        <v>311</v>
      </c>
      <c r="O106" s="9" t="s">
        <v>81</v>
      </c>
      <c r="P106" s="9" t="s">
        <v>82</v>
      </c>
      <c r="Q106" s="9" t="s">
        <v>83</v>
      </c>
      <c r="R106" s="9" t="s">
        <v>84</v>
      </c>
      <c r="S106" s="9" t="s">
        <v>85</v>
      </c>
      <c r="T106" s="11" t="s">
        <v>86</v>
      </c>
      <c r="U106" s="12" t="s">
        <v>297</v>
      </c>
      <c r="V106" s="12" t="s">
        <v>297</v>
      </c>
      <c r="W106" s="9">
        <v>10</v>
      </c>
      <c r="X106" s="9" t="s">
        <v>39</v>
      </c>
      <c r="Y106" s="9" t="s">
        <v>40</v>
      </c>
      <c r="Z106" s="9" t="s">
        <v>41</v>
      </c>
      <c r="AA106" s="9" t="s">
        <v>42</v>
      </c>
      <c r="AB106" s="9"/>
      <c r="AC106" s="9"/>
    </row>
    <row r="107" spans="1:29" ht="22.5" customHeight="1">
      <c r="A107" s="9" t="s">
        <v>73</v>
      </c>
      <c r="B107" s="9" t="s">
        <v>315</v>
      </c>
      <c r="C107" s="9" t="s">
        <v>113</v>
      </c>
      <c r="D107" s="9" t="s">
        <v>76</v>
      </c>
      <c r="E107" s="9"/>
      <c r="F107" s="9"/>
      <c r="G107" s="9">
        <v>1</v>
      </c>
      <c r="H107" s="10"/>
      <c r="I107" s="9"/>
      <c r="J107" s="9" t="s">
        <v>314</v>
      </c>
      <c r="K107" s="13" t="s">
        <v>78</v>
      </c>
      <c r="L107" s="9"/>
      <c r="M107" s="10" t="s">
        <v>316</v>
      </c>
      <c r="N107" s="10" t="s">
        <v>317</v>
      </c>
      <c r="O107" s="9" t="s">
        <v>116</v>
      </c>
      <c r="P107" s="9" t="s">
        <v>117</v>
      </c>
      <c r="Q107" s="9" t="s">
        <v>118</v>
      </c>
      <c r="R107" s="9" t="s">
        <v>119</v>
      </c>
      <c r="S107" s="9" t="s">
        <v>120</v>
      </c>
      <c r="T107" s="11" t="s">
        <v>121</v>
      </c>
      <c r="U107" s="12" t="s">
        <v>303</v>
      </c>
      <c r="V107" s="12" t="s">
        <v>150</v>
      </c>
      <c r="W107" s="9">
        <v>0</v>
      </c>
      <c r="X107" s="9" t="s">
        <v>119</v>
      </c>
      <c r="Y107" s="9" t="s">
        <v>120</v>
      </c>
      <c r="Z107" s="9" t="s">
        <v>121</v>
      </c>
      <c r="AA107" s="9" t="s">
        <v>271</v>
      </c>
      <c r="AB107" s="12" t="s">
        <v>136</v>
      </c>
      <c r="AC107" s="9">
        <v>74</v>
      </c>
    </row>
    <row r="108" spans="1:29" ht="22.5" customHeight="1">
      <c r="A108" s="9" t="s">
        <v>73</v>
      </c>
      <c r="B108" s="9" t="s">
        <v>318</v>
      </c>
      <c r="C108" s="9" t="s">
        <v>113</v>
      </c>
      <c r="D108" s="9" t="s">
        <v>76</v>
      </c>
      <c r="E108" s="9"/>
      <c r="F108" s="9"/>
      <c r="G108" s="9">
        <v>1</v>
      </c>
      <c r="H108" s="10"/>
      <c r="I108" s="9"/>
      <c r="J108" s="9" t="s">
        <v>314</v>
      </c>
      <c r="K108" s="13" t="s">
        <v>78</v>
      </c>
      <c r="L108" s="9"/>
      <c r="M108" s="10" t="s">
        <v>319</v>
      </c>
      <c r="N108" s="10" t="s">
        <v>320</v>
      </c>
      <c r="O108" s="9" t="s">
        <v>116</v>
      </c>
      <c r="P108" s="9" t="s">
        <v>117</v>
      </c>
      <c r="Q108" s="9" t="s">
        <v>118</v>
      </c>
      <c r="R108" s="9" t="s">
        <v>119</v>
      </c>
      <c r="S108" s="9" t="s">
        <v>120</v>
      </c>
      <c r="T108" s="11" t="s">
        <v>121</v>
      </c>
      <c r="U108" s="12" t="s">
        <v>156</v>
      </c>
      <c r="V108" s="12" t="s">
        <v>218</v>
      </c>
      <c r="W108" s="9">
        <v>0</v>
      </c>
      <c r="X108" s="9" t="s">
        <v>39</v>
      </c>
      <c r="Y108" s="9" t="s">
        <v>40</v>
      </c>
      <c r="Z108" s="9" t="s">
        <v>41</v>
      </c>
      <c r="AA108" s="9" t="s">
        <v>42</v>
      </c>
      <c r="AB108" s="12" t="s">
        <v>136</v>
      </c>
      <c r="AC108" s="9">
        <v>75</v>
      </c>
    </row>
    <row r="109" spans="1:29" ht="22.5" customHeight="1">
      <c r="A109" s="9" t="s">
        <v>73</v>
      </c>
      <c r="B109" s="9" t="s">
        <v>321</v>
      </c>
      <c r="C109" s="9" t="s">
        <v>113</v>
      </c>
      <c r="D109" s="9" t="s">
        <v>31</v>
      </c>
      <c r="E109" s="9"/>
      <c r="F109" s="9"/>
      <c r="G109" s="9">
        <v>1</v>
      </c>
      <c r="H109" s="10"/>
      <c r="I109" s="9"/>
      <c r="J109" s="9" t="s">
        <v>314</v>
      </c>
      <c r="K109" s="13" t="s">
        <v>78</v>
      </c>
      <c r="L109" s="9"/>
      <c r="M109" s="10" t="s">
        <v>295</v>
      </c>
      <c r="N109" s="10" t="s">
        <v>322</v>
      </c>
      <c r="O109" s="9" t="s">
        <v>116</v>
      </c>
      <c r="P109" s="9" t="s">
        <v>117</v>
      </c>
      <c r="Q109" s="9" t="s">
        <v>118</v>
      </c>
      <c r="R109" s="9" t="s">
        <v>119</v>
      </c>
      <c r="S109" s="9" t="s">
        <v>120</v>
      </c>
      <c r="T109" s="11" t="s">
        <v>121</v>
      </c>
      <c r="U109" s="12" t="s">
        <v>297</v>
      </c>
      <c r="V109" s="12" t="s">
        <v>297</v>
      </c>
      <c r="W109" s="9">
        <v>10</v>
      </c>
      <c r="X109" s="9" t="s">
        <v>39</v>
      </c>
      <c r="Y109" s="9" t="s">
        <v>40</v>
      </c>
      <c r="Z109" s="9" t="s">
        <v>41</v>
      </c>
      <c r="AA109" s="9" t="s">
        <v>42</v>
      </c>
      <c r="AB109" s="9"/>
      <c r="AC109" s="9"/>
    </row>
    <row r="110" spans="1:29" ht="22.5" customHeight="1">
      <c r="A110" s="9" t="s">
        <v>73</v>
      </c>
      <c r="B110" s="9" t="s">
        <v>323</v>
      </c>
      <c r="C110" s="9" t="s">
        <v>113</v>
      </c>
      <c r="D110" s="9" t="s">
        <v>31</v>
      </c>
      <c r="E110" s="9"/>
      <c r="F110" s="9"/>
      <c r="G110" s="9">
        <v>1</v>
      </c>
      <c r="H110" s="10"/>
      <c r="I110" s="9"/>
      <c r="J110" s="9" t="s">
        <v>324</v>
      </c>
      <c r="K110" s="13" t="s">
        <v>78</v>
      </c>
      <c r="L110" s="9"/>
      <c r="M110" s="10" t="s">
        <v>310</v>
      </c>
      <c r="N110" s="10" t="s">
        <v>311</v>
      </c>
      <c r="O110" s="9" t="s">
        <v>116</v>
      </c>
      <c r="P110" s="9" t="s">
        <v>117</v>
      </c>
      <c r="Q110" s="9" t="s">
        <v>118</v>
      </c>
      <c r="R110" s="9" t="s">
        <v>119</v>
      </c>
      <c r="S110" s="9" t="s">
        <v>120</v>
      </c>
      <c r="T110" s="11" t="s">
        <v>121</v>
      </c>
      <c r="U110" s="12" t="s">
        <v>297</v>
      </c>
      <c r="V110" s="12" t="s">
        <v>297</v>
      </c>
      <c r="W110" s="9">
        <v>10</v>
      </c>
      <c r="X110" s="9" t="s">
        <v>39</v>
      </c>
      <c r="Y110" s="9" t="s">
        <v>40</v>
      </c>
      <c r="Z110" s="9" t="s">
        <v>41</v>
      </c>
      <c r="AA110" s="9" t="s">
        <v>42</v>
      </c>
      <c r="AB110" s="9"/>
      <c r="AC110" s="9"/>
    </row>
    <row r="111" spans="1:29" ht="22.5" customHeight="1">
      <c r="A111" s="9" t="s">
        <v>73</v>
      </c>
      <c r="B111" s="9" t="s">
        <v>325</v>
      </c>
      <c r="C111" s="9" t="s">
        <v>113</v>
      </c>
      <c r="D111" s="9" t="s">
        <v>76</v>
      </c>
      <c r="E111" s="9"/>
      <c r="F111" s="9"/>
      <c r="G111" s="9">
        <v>1</v>
      </c>
      <c r="H111" s="10"/>
      <c r="I111" s="9"/>
      <c r="J111" s="9" t="s">
        <v>324</v>
      </c>
      <c r="K111" s="13" t="s">
        <v>78</v>
      </c>
      <c r="L111" s="9"/>
      <c r="M111" s="10" t="s">
        <v>326</v>
      </c>
      <c r="N111" s="10" t="s">
        <v>327</v>
      </c>
      <c r="O111" s="9" t="s">
        <v>116</v>
      </c>
      <c r="P111" s="9" t="s">
        <v>117</v>
      </c>
      <c r="Q111" s="9" t="s">
        <v>118</v>
      </c>
      <c r="R111" s="9" t="s">
        <v>119</v>
      </c>
      <c r="S111" s="9" t="s">
        <v>120</v>
      </c>
      <c r="T111" s="11" t="s">
        <v>121</v>
      </c>
      <c r="U111" s="12" t="s">
        <v>303</v>
      </c>
      <c r="V111" s="12" t="s">
        <v>150</v>
      </c>
      <c r="W111" s="9">
        <v>0</v>
      </c>
      <c r="X111" s="9" t="s">
        <v>119</v>
      </c>
      <c r="Y111" s="9" t="s">
        <v>120</v>
      </c>
      <c r="Z111" s="9" t="s">
        <v>121</v>
      </c>
      <c r="AA111" s="9" t="s">
        <v>271</v>
      </c>
      <c r="AB111" s="12" t="s">
        <v>136</v>
      </c>
      <c r="AC111" s="9">
        <v>76</v>
      </c>
    </row>
    <row r="112" spans="1:29" ht="22.5" customHeight="1">
      <c r="A112" s="9" t="s">
        <v>73</v>
      </c>
      <c r="B112" s="9" t="s">
        <v>328</v>
      </c>
      <c r="C112" s="9" t="s">
        <v>113</v>
      </c>
      <c r="D112" s="9" t="s">
        <v>76</v>
      </c>
      <c r="E112" s="9"/>
      <c r="F112" s="9"/>
      <c r="G112" s="9">
        <v>1</v>
      </c>
      <c r="H112" s="10"/>
      <c r="I112" s="9"/>
      <c r="J112" s="9" t="s">
        <v>324</v>
      </c>
      <c r="K112" s="13" t="s">
        <v>78</v>
      </c>
      <c r="L112" s="9"/>
      <c r="M112" s="10" t="s">
        <v>329</v>
      </c>
      <c r="N112" s="10" t="s">
        <v>330</v>
      </c>
      <c r="O112" s="9" t="s">
        <v>116</v>
      </c>
      <c r="P112" s="9" t="s">
        <v>117</v>
      </c>
      <c r="Q112" s="9" t="s">
        <v>118</v>
      </c>
      <c r="R112" s="9" t="s">
        <v>119</v>
      </c>
      <c r="S112" s="9" t="s">
        <v>120</v>
      </c>
      <c r="T112" s="11" t="s">
        <v>121</v>
      </c>
      <c r="U112" s="12" t="s">
        <v>303</v>
      </c>
      <c r="V112" s="12" t="s">
        <v>150</v>
      </c>
      <c r="W112" s="9">
        <v>0</v>
      </c>
      <c r="X112" s="9" t="s">
        <v>119</v>
      </c>
      <c r="Y112" s="9" t="s">
        <v>120</v>
      </c>
      <c r="Z112" s="9" t="s">
        <v>121</v>
      </c>
      <c r="AA112" s="9" t="s">
        <v>271</v>
      </c>
      <c r="AB112" s="12" t="s">
        <v>136</v>
      </c>
      <c r="AC112" s="9">
        <v>84</v>
      </c>
    </row>
    <row r="113" spans="1:29" ht="22.5" customHeight="1">
      <c r="A113" s="9" t="s">
        <v>73</v>
      </c>
      <c r="B113" s="9" t="s">
        <v>331</v>
      </c>
      <c r="C113" s="9" t="s">
        <v>113</v>
      </c>
      <c r="D113" s="9" t="s">
        <v>76</v>
      </c>
      <c r="E113" s="9"/>
      <c r="F113" s="9"/>
      <c r="G113" s="9">
        <v>1</v>
      </c>
      <c r="H113" s="10"/>
      <c r="I113" s="9"/>
      <c r="J113" s="9" t="s">
        <v>324</v>
      </c>
      <c r="K113" s="13" t="s">
        <v>78</v>
      </c>
      <c r="L113" s="9"/>
      <c r="M113" s="10" t="s">
        <v>319</v>
      </c>
      <c r="N113" s="10" t="s">
        <v>320</v>
      </c>
      <c r="O113" s="9" t="s">
        <v>116</v>
      </c>
      <c r="P113" s="9" t="s">
        <v>117</v>
      </c>
      <c r="Q113" s="9" t="s">
        <v>118</v>
      </c>
      <c r="R113" s="9" t="s">
        <v>119</v>
      </c>
      <c r="S113" s="9" t="s">
        <v>120</v>
      </c>
      <c r="T113" s="11" t="s">
        <v>121</v>
      </c>
      <c r="U113" s="12" t="s">
        <v>156</v>
      </c>
      <c r="V113" s="12" t="s">
        <v>218</v>
      </c>
      <c r="W113" s="9">
        <v>0</v>
      </c>
      <c r="X113" s="9" t="s">
        <v>39</v>
      </c>
      <c r="Y113" s="9" t="s">
        <v>40</v>
      </c>
      <c r="Z113" s="9" t="s">
        <v>41</v>
      </c>
      <c r="AA113" s="9" t="s">
        <v>42</v>
      </c>
      <c r="AB113" s="12" t="s">
        <v>136</v>
      </c>
      <c r="AC113" s="9">
        <v>77</v>
      </c>
    </row>
    <row r="114" spans="1:29" ht="22.5" customHeight="1">
      <c r="A114" s="9" t="s">
        <v>73</v>
      </c>
      <c r="B114" s="9" t="s">
        <v>332</v>
      </c>
      <c r="C114" s="9" t="s">
        <v>113</v>
      </c>
      <c r="D114" s="9" t="s">
        <v>76</v>
      </c>
      <c r="E114" s="9"/>
      <c r="F114" s="9"/>
      <c r="G114" s="9">
        <v>1</v>
      </c>
      <c r="H114" s="10"/>
      <c r="I114" s="9"/>
      <c r="J114" s="9" t="s">
        <v>324</v>
      </c>
      <c r="K114" s="13" t="s">
        <v>78</v>
      </c>
      <c r="L114" s="9"/>
      <c r="M114" s="10" t="s">
        <v>333</v>
      </c>
      <c r="N114" s="10" t="s">
        <v>334</v>
      </c>
      <c r="O114" s="9" t="s">
        <v>116</v>
      </c>
      <c r="P114" s="9" t="s">
        <v>117</v>
      </c>
      <c r="Q114" s="9" t="s">
        <v>118</v>
      </c>
      <c r="R114" s="9" t="s">
        <v>119</v>
      </c>
      <c r="S114" s="9" t="s">
        <v>120</v>
      </c>
      <c r="T114" s="11" t="s">
        <v>121</v>
      </c>
      <c r="U114" s="12" t="s">
        <v>303</v>
      </c>
      <c r="V114" s="12" t="s">
        <v>150</v>
      </c>
      <c r="W114" s="9">
        <v>0</v>
      </c>
      <c r="X114" s="9" t="s">
        <v>119</v>
      </c>
      <c r="Y114" s="9" t="s">
        <v>120</v>
      </c>
      <c r="Z114" s="9" t="s">
        <v>121</v>
      </c>
      <c r="AA114" s="9" t="s">
        <v>271</v>
      </c>
      <c r="AB114" s="12" t="s">
        <v>136</v>
      </c>
      <c r="AC114" s="9">
        <v>78</v>
      </c>
    </row>
    <row r="115" spans="1:29" ht="22.5" customHeight="1">
      <c r="A115" s="9" t="s">
        <v>73</v>
      </c>
      <c r="B115" s="9" t="s">
        <v>335</v>
      </c>
      <c r="C115" s="9" t="s">
        <v>113</v>
      </c>
      <c r="D115" s="9" t="s">
        <v>31</v>
      </c>
      <c r="E115" s="9"/>
      <c r="F115" s="9"/>
      <c r="G115" s="9">
        <v>1</v>
      </c>
      <c r="H115" s="10"/>
      <c r="I115" s="9"/>
      <c r="J115" s="9" t="s">
        <v>336</v>
      </c>
      <c r="K115" s="13" t="s">
        <v>78</v>
      </c>
      <c r="L115" s="9"/>
      <c r="M115" s="10" t="s">
        <v>310</v>
      </c>
      <c r="N115" s="10" t="s">
        <v>311</v>
      </c>
      <c r="O115" s="9" t="s">
        <v>116</v>
      </c>
      <c r="P115" s="9" t="s">
        <v>117</v>
      </c>
      <c r="Q115" s="9" t="s">
        <v>118</v>
      </c>
      <c r="R115" s="9" t="s">
        <v>119</v>
      </c>
      <c r="S115" s="9" t="s">
        <v>120</v>
      </c>
      <c r="T115" s="11" t="s">
        <v>121</v>
      </c>
      <c r="U115" s="12" t="s">
        <v>297</v>
      </c>
      <c r="V115" s="12" t="s">
        <v>297</v>
      </c>
      <c r="W115" s="9">
        <v>10</v>
      </c>
      <c r="X115" s="9" t="s">
        <v>39</v>
      </c>
      <c r="Y115" s="9" t="s">
        <v>40</v>
      </c>
      <c r="Z115" s="9" t="s">
        <v>41</v>
      </c>
      <c r="AA115" s="9" t="s">
        <v>42</v>
      </c>
      <c r="AB115" s="9"/>
      <c r="AC115" s="9"/>
    </row>
    <row r="116" spans="1:29" ht="22.5" customHeight="1">
      <c r="A116" s="9" t="s">
        <v>141</v>
      </c>
      <c r="B116" s="9" t="s">
        <v>337</v>
      </c>
      <c r="C116" s="9" t="s">
        <v>113</v>
      </c>
      <c r="D116" s="9" t="s">
        <v>76</v>
      </c>
      <c r="E116" s="9" t="s">
        <v>32</v>
      </c>
      <c r="F116" s="9" t="s">
        <v>33</v>
      </c>
      <c r="G116" s="9">
        <v>2</v>
      </c>
      <c r="H116" s="10"/>
      <c r="I116" s="9" t="s">
        <v>338</v>
      </c>
      <c r="J116" s="9" t="s">
        <v>180</v>
      </c>
      <c r="K116" s="9"/>
      <c r="L116" s="9"/>
      <c r="M116" s="10" t="s">
        <v>339</v>
      </c>
      <c r="N116" s="10" t="str">
        <f>IFERROR(VLOOKUP(M116,[1]DESC!A:B,2,FALSE),"")</f>
        <v>COF - Cost of Funding  Rate</v>
      </c>
      <c r="O116" s="9" t="s">
        <v>116</v>
      </c>
      <c r="P116" s="9" t="s">
        <v>117</v>
      </c>
      <c r="Q116" s="9" t="s">
        <v>118</v>
      </c>
      <c r="R116" s="9" t="s">
        <v>214</v>
      </c>
      <c r="S116" s="9" t="s">
        <v>215</v>
      </c>
      <c r="T116" s="11" t="s">
        <v>216</v>
      </c>
      <c r="U116" s="12" t="s">
        <v>149</v>
      </c>
      <c r="V116" s="12" t="s">
        <v>218</v>
      </c>
      <c r="W116" s="9">
        <v>0</v>
      </c>
      <c r="X116" s="9" t="s">
        <v>214</v>
      </c>
      <c r="Y116" s="9" t="s">
        <v>215</v>
      </c>
      <c r="Z116" s="9" t="s">
        <v>216</v>
      </c>
      <c r="AA116" s="9" t="s">
        <v>219</v>
      </c>
      <c r="AB116" s="12" t="s">
        <v>182</v>
      </c>
      <c r="AC116" s="9">
        <v>98</v>
      </c>
    </row>
    <row r="117" spans="1:29" ht="22.5" customHeight="1">
      <c r="A117" s="9" t="s">
        <v>141</v>
      </c>
      <c r="B117" s="9" t="s">
        <v>337</v>
      </c>
      <c r="C117" s="9" t="s">
        <v>113</v>
      </c>
      <c r="D117" s="9" t="s">
        <v>76</v>
      </c>
      <c r="E117" s="9" t="s">
        <v>32</v>
      </c>
      <c r="F117" s="9" t="s">
        <v>33</v>
      </c>
      <c r="G117" s="9">
        <v>2</v>
      </c>
      <c r="H117" s="10"/>
      <c r="I117" s="9" t="s">
        <v>340</v>
      </c>
      <c r="J117" s="9" t="s">
        <v>180</v>
      </c>
      <c r="K117" s="9"/>
      <c r="L117" s="9"/>
      <c r="M117" s="10" t="s">
        <v>339</v>
      </c>
      <c r="N117" s="10" t="str">
        <f>IFERROR(VLOOKUP(M117,[1]DESC!A:B,2,FALSE),"")</f>
        <v>COF - Cost of Funding  Rate</v>
      </c>
      <c r="O117" s="9" t="s">
        <v>116</v>
      </c>
      <c r="P117" s="9" t="s">
        <v>117</v>
      </c>
      <c r="Q117" s="9" t="s">
        <v>118</v>
      </c>
      <c r="R117" s="9" t="s">
        <v>214</v>
      </c>
      <c r="S117" s="9" t="s">
        <v>215</v>
      </c>
      <c r="T117" s="11" t="s">
        <v>216</v>
      </c>
      <c r="U117" s="12" t="s">
        <v>149</v>
      </c>
      <c r="V117" s="12" t="s">
        <v>218</v>
      </c>
      <c r="W117" s="9">
        <v>0</v>
      </c>
      <c r="X117" s="9" t="s">
        <v>214</v>
      </c>
      <c r="Y117" s="9" t="s">
        <v>215</v>
      </c>
      <c r="Z117" s="9" t="s">
        <v>216</v>
      </c>
      <c r="AA117" s="9" t="s">
        <v>219</v>
      </c>
      <c r="AB117" s="12" t="s">
        <v>182</v>
      </c>
      <c r="AC117" s="9">
        <v>98</v>
      </c>
    </row>
    <row r="118" spans="1:29" ht="22.5" customHeight="1">
      <c r="A118" s="9" t="s">
        <v>29</v>
      </c>
      <c r="B118" s="9" t="s">
        <v>341</v>
      </c>
      <c r="C118" s="9"/>
      <c r="D118" s="9" t="s">
        <v>31</v>
      </c>
      <c r="E118" s="9" t="s">
        <v>44</v>
      </c>
      <c r="F118" s="9" t="s">
        <v>33</v>
      </c>
      <c r="G118" s="9" t="s">
        <v>34</v>
      </c>
      <c r="H118" s="10"/>
      <c r="I118" s="9"/>
      <c r="J118" s="9" t="s">
        <v>49</v>
      </c>
      <c r="K118" s="9"/>
      <c r="L118" s="9"/>
      <c r="M118" s="10" t="s">
        <v>342</v>
      </c>
      <c r="N118" s="10" t="str">
        <f>IFERROR(VLOOKUP(M118,[1]DESC!A:B,2,FALSE),"")</f>
        <v/>
      </c>
      <c r="O118" s="9"/>
      <c r="P118" s="9"/>
      <c r="Q118" s="9"/>
      <c r="R118" s="9"/>
      <c r="S118" s="9"/>
      <c r="T118" s="11"/>
      <c r="U118" s="12" t="s">
        <v>37</v>
      </c>
      <c r="V118" s="12" t="s">
        <v>47</v>
      </c>
      <c r="W118" s="9">
        <v>10</v>
      </c>
      <c r="X118" s="9" t="s">
        <v>39</v>
      </c>
      <c r="Y118" s="9" t="s">
        <v>40</v>
      </c>
      <c r="Z118" s="9" t="s">
        <v>41</v>
      </c>
      <c r="AA118" s="9" t="s">
        <v>42</v>
      </c>
      <c r="AB118" s="9"/>
      <c r="AC118" s="9"/>
    </row>
    <row r="119" spans="1:29" ht="22.5" customHeight="1">
      <c r="A119" s="9" t="s">
        <v>29</v>
      </c>
      <c r="B119" s="9" t="s">
        <v>343</v>
      </c>
      <c r="C119" s="9"/>
      <c r="D119" s="9" t="s">
        <v>31</v>
      </c>
      <c r="E119" s="9" t="s">
        <v>32</v>
      </c>
      <c r="F119" s="9" t="s">
        <v>33</v>
      </c>
      <c r="G119" s="9" t="s">
        <v>34</v>
      </c>
      <c r="H119" s="10"/>
      <c r="I119" s="9"/>
      <c r="J119" s="9" t="s">
        <v>35</v>
      </c>
      <c r="K119" s="9"/>
      <c r="L119" s="9"/>
      <c r="M119" s="10" t="s">
        <v>344</v>
      </c>
      <c r="N119" s="10" t="str">
        <f>IFERROR(VLOOKUP(M119,[1]DESC!A:B,2,FALSE),"")</f>
        <v/>
      </c>
      <c r="O119" s="9"/>
      <c r="P119" s="9"/>
      <c r="Q119" s="9"/>
      <c r="R119" s="9"/>
      <c r="S119" s="9"/>
      <c r="T119" s="11"/>
      <c r="U119" s="12" t="s">
        <v>46</v>
      </c>
      <c r="V119" s="12" t="s">
        <v>38</v>
      </c>
      <c r="W119" s="9">
        <v>10</v>
      </c>
      <c r="X119" s="9" t="s">
        <v>39</v>
      </c>
      <c r="Y119" s="9" t="s">
        <v>40</v>
      </c>
      <c r="Z119" s="9" t="s">
        <v>41</v>
      </c>
      <c r="AA119" s="9" t="s">
        <v>42</v>
      </c>
      <c r="AB119" s="9"/>
      <c r="AC119" s="9"/>
    </row>
    <row r="120" spans="1:29" ht="22.5" customHeight="1">
      <c r="A120" s="9" t="s">
        <v>29</v>
      </c>
      <c r="B120" s="9" t="s">
        <v>345</v>
      </c>
      <c r="C120" s="9"/>
      <c r="D120" s="9" t="s">
        <v>31</v>
      </c>
      <c r="E120" s="9" t="s">
        <v>44</v>
      </c>
      <c r="F120" s="9" t="s">
        <v>33</v>
      </c>
      <c r="G120" s="9" t="s">
        <v>34</v>
      </c>
      <c r="H120" s="10"/>
      <c r="I120" s="9"/>
      <c r="J120" s="9" t="s">
        <v>49</v>
      </c>
      <c r="K120" s="9"/>
      <c r="L120" s="9"/>
      <c r="M120" s="10" t="s">
        <v>346</v>
      </c>
      <c r="N120" s="10" t="str">
        <f>IFERROR(VLOOKUP(M120,[1]DESC!A:B,2,FALSE),"")</f>
        <v/>
      </c>
      <c r="O120" s="9"/>
      <c r="P120" s="9"/>
      <c r="Q120" s="9"/>
      <c r="R120" s="9"/>
      <c r="S120" s="9"/>
      <c r="T120" s="11"/>
      <c r="U120" s="12" t="s">
        <v>37</v>
      </c>
      <c r="V120" s="12" t="s">
        <v>47</v>
      </c>
      <c r="W120" s="9">
        <v>10</v>
      </c>
      <c r="X120" s="9" t="s">
        <v>39</v>
      </c>
      <c r="Y120" s="9" t="s">
        <v>40</v>
      </c>
      <c r="Z120" s="9" t="s">
        <v>41</v>
      </c>
      <c r="AA120" s="9" t="s">
        <v>42</v>
      </c>
      <c r="AB120" s="9"/>
      <c r="AC120" s="9"/>
    </row>
    <row r="121" spans="1:29" ht="22.5" customHeight="1">
      <c r="A121" s="9" t="s">
        <v>29</v>
      </c>
      <c r="B121" s="9" t="s">
        <v>347</v>
      </c>
      <c r="C121" s="9"/>
      <c r="D121" s="9" t="s">
        <v>31</v>
      </c>
      <c r="E121" s="9" t="s">
        <v>44</v>
      </c>
      <c r="F121" s="9" t="s">
        <v>33</v>
      </c>
      <c r="G121" s="9" t="s">
        <v>34</v>
      </c>
      <c r="H121" s="10" t="s">
        <v>348</v>
      </c>
      <c r="I121" s="9"/>
      <c r="J121" s="9" t="s">
        <v>35</v>
      </c>
      <c r="K121" s="9"/>
      <c r="L121" s="9"/>
      <c r="M121" s="10" t="s">
        <v>349</v>
      </c>
      <c r="N121" s="10" t="str">
        <f>IFERROR(VLOOKUP(M121,[1]DESC!A:B,2,FALSE),"")</f>
        <v/>
      </c>
      <c r="O121" s="9"/>
      <c r="P121" s="9"/>
      <c r="Q121" s="9"/>
      <c r="R121" s="9"/>
      <c r="S121" s="9"/>
      <c r="T121" s="11"/>
      <c r="U121" s="12" t="s">
        <v>57</v>
      </c>
      <c r="V121" s="12" t="s">
        <v>47</v>
      </c>
      <c r="W121" s="9">
        <v>10</v>
      </c>
      <c r="X121" s="9" t="s">
        <v>39</v>
      </c>
      <c r="Y121" s="9" t="s">
        <v>40</v>
      </c>
      <c r="Z121" s="9" t="s">
        <v>41</v>
      </c>
      <c r="AA121" s="9" t="s">
        <v>42</v>
      </c>
      <c r="AB121" s="9"/>
      <c r="AC121" s="9"/>
    </row>
    <row r="122" spans="1:29" ht="22.5" customHeight="1">
      <c r="A122" s="9" t="s">
        <v>29</v>
      </c>
      <c r="B122" s="9" t="s">
        <v>350</v>
      </c>
      <c r="C122" s="9"/>
      <c r="D122" s="9" t="s">
        <v>31</v>
      </c>
      <c r="E122" s="9" t="s">
        <v>44</v>
      </c>
      <c r="F122" s="9" t="s">
        <v>33</v>
      </c>
      <c r="G122" s="9" t="s">
        <v>34</v>
      </c>
      <c r="H122" s="10" t="s">
        <v>351</v>
      </c>
      <c r="I122" s="9"/>
      <c r="J122" s="9" t="s">
        <v>49</v>
      </c>
      <c r="K122" s="9"/>
      <c r="L122" s="9"/>
      <c r="M122" s="10" t="s">
        <v>352</v>
      </c>
      <c r="N122" s="10" t="str">
        <f>IFERROR(VLOOKUP(M122,[1]DESC!A:B,2,FALSE),"")</f>
        <v/>
      </c>
      <c r="O122" s="9"/>
      <c r="P122" s="9"/>
      <c r="Q122" s="9"/>
      <c r="R122" s="9"/>
      <c r="S122" s="9"/>
      <c r="T122" s="11"/>
      <c r="U122" s="12" t="s">
        <v>57</v>
      </c>
      <c r="V122" s="12" t="s">
        <v>47</v>
      </c>
      <c r="W122" s="9">
        <v>10</v>
      </c>
      <c r="X122" s="9" t="s">
        <v>39</v>
      </c>
      <c r="Y122" s="9" t="s">
        <v>40</v>
      </c>
      <c r="Z122" s="9" t="s">
        <v>41</v>
      </c>
      <c r="AA122" s="9" t="s">
        <v>42</v>
      </c>
      <c r="AB122" s="9"/>
      <c r="AC122" s="9"/>
    </row>
    <row r="123" spans="1:29" ht="22.5" customHeight="1">
      <c r="A123" s="9" t="s">
        <v>29</v>
      </c>
      <c r="B123" s="9" t="s">
        <v>353</v>
      </c>
      <c r="C123" s="9"/>
      <c r="D123" s="9" t="s">
        <v>31</v>
      </c>
      <c r="E123" s="9" t="s">
        <v>44</v>
      </c>
      <c r="F123" s="9" t="s">
        <v>33</v>
      </c>
      <c r="G123" s="9" t="s">
        <v>34</v>
      </c>
      <c r="H123" s="10" t="s">
        <v>351</v>
      </c>
      <c r="I123" s="9"/>
      <c r="J123" s="9" t="s">
        <v>49</v>
      </c>
      <c r="K123" s="9"/>
      <c r="L123" s="9"/>
      <c r="M123" s="10" t="s">
        <v>352</v>
      </c>
      <c r="N123" s="10" t="str">
        <f>IFERROR(VLOOKUP(M123,[1]DESC!A:B,2,FALSE),"")</f>
        <v/>
      </c>
      <c r="O123" s="9"/>
      <c r="P123" s="9"/>
      <c r="Q123" s="9"/>
      <c r="R123" s="9"/>
      <c r="S123" s="9"/>
      <c r="T123" s="11"/>
      <c r="U123" s="12" t="s">
        <v>57</v>
      </c>
      <c r="V123" s="12" t="s">
        <v>47</v>
      </c>
      <c r="W123" s="9">
        <v>10</v>
      </c>
      <c r="X123" s="9" t="s">
        <v>39</v>
      </c>
      <c r="Y123" s="9" t="s">
        <v>40</v>
      </c>
      <c r="Z123" s="9" t="s">
        <v>41</v>
      </c>
      <c r="AA123" s="9" t="s">
        <v>42</v>
      </c>
      <c r="AB123" s="9"/>
      <c r="AC123" s="9"/>
    </row>
    <row r="124" spans="1:29" ht="22.5" customHeight="1">
      <c r="A124" s="9" t="s">
        <v>29</v>
      </c>
      <c r="B124" s="9" t="s">
        <v>354</v>
      </c>
      <c r="C124" s="9"/>
      <c r="D124" s="9" t="s">
        <v>31</v>
      </c>
      <c r="E124" s="9" t="s">
        <v>44</v>
      </c>
      <c r="F124" s="9" t="s">
        <v>33</v>
      </c>
      <c r="G124" s="9" t="s">
        <v>34</v>
      </c>
      <c r="H124" s="10" t="s">
        <v>351</v>
      </c>
      <c r="I124" s="9"/>
      <c r="J124" s="9" t="s">
        <v>49</v>
      </c>
      <c r="K124" s="9"/>
      <c r="L124" s="9"/>
      <c r="M124" s="10" t="s">
        <v>352</v>
      </c>
      <c r="N124" s="10" t="str">
        <f>IFERROR(VLOOKUP(M124,[1]DESC!A:B,2,FALSE),"")</f>
        <v/>
      </c>
      <c r="O124" s="9"/>
      <c r="P124" s="9"/>
      <c r="Q124" s="9"/>
      <c r="R124" s="9"/>
      <c r="S124" s="9"/>
      <c r="T124" s="11"/>
      <c r="U124" s="12" t="s">
        <v>57</v>
      </c>
      <c r="V124" s="12" t="s">
        <v>47</v>
      </c>
      <c r="W124" s="9">
        <v>10</v>
      </c>
      <c r="X124" s="9" t="s">
        <v>39</v>
      </c>
      <c r="Y124" s="9" t="s">
        <v>40</v>
      </c>
      <c r="Z124" s="9" t="s">
        <v>41</v>
      </c>
      <c r="AA124" s="9" t="s">
        <v>42</v>
      </c>
      <c r="AB124" s="9"/>
      <c r="AC124" s="9"/>
    </row>
    <row r="125" spans="1:29" ht="22.5" customHeight="1">
      <c r="A125" s="9" t="s">
        <v>29</v>
      </c>
      <c r="B125" s="9" t="s">
        <v>355</v>
      </c>
      <c r="C125" s="9"/>
      <c r="D125" s="9" t="s">
        <v>31</v>
      </c>
      <c r="E125" s="9" t="s">
        <v>44</v>
      </c>
      <c r="F125" s="9" t="s">
        <v>33</v>
      </c>
      <c r="G125" s="9" t="s">
        <v>34</v>
      </c>
      <c r="H125" s="10" t="s">
        <v>351</v>
      </c>
      <c r="I125" s="9"/>
      <c r="J125" s="9" t="s">
        <v>49</v>
      </c>
      <c r="K125" s="9"/>
      <c r="L125" s="9"/>
      <c r="M125" s="10" t="s">
        <v>356</v>
      </c>
      <c r="N125" s="10" t="str">
        <f>IFERROR(VLOOKUP(M125,[1]DESC!A:B,2,FALSE),"")</f>
        <v/>
      </c>
      <c r="O125" s="9"/>
      <c r="P125" s="9"/>
      <c r="Q125" s="9"/>
      <c r="R125" s="9"/>
      <c r="S125" s="9"/>
      <c r="T125" s="11"/>
      <c r="U125" s="12" t="s">
        <v>57</v>
      </c>
      <c r="V125" s="12" t="s">
        <v>47</v>
      </c>
      <c r="W125" s="9">
        <v>10</v>
      </c>
      <c r="X125" s="9" t="s">
        <v>39</v>
      </c>
      <c r="Y125" s="9" t="s">
        <v>40</v>
      </c>
      <c r="Z125" s="9" t="s">
        <v>41</v>
      </c>
      <c r="AA125" s="9" t="s">
        <v>42</v>
      </c>
      <c r="AB125" s="9"/>
      <c r="AC125" s="9"/>
    </row>
    <row r="126" spans="1:29" ht="22.5" customHeight="1">
      <c r="A126" s="9" t="s">
        <v>29</v>
      </c>
      <c r="B126" s="9" t="s">
        <v>357</v>
      </c>
      <c r="C126" s="9"/>
      <c r="D126" s="9" t="s">
        <v>31</v>
      </c>
      <c r="E126" s="9" t="s">
        <v>44</v>
      </c>
      <c r="F126" s="9" t="s">
        <v>33</v>
      </c>
      <c r="G126" s="9" t="s">
        <v>34</v>
      </c>
      <c r="H126" s="10"/>
      <c r="I126" s="9"/>
      <c r="J126" s="9" t="s">
        <v>49</v>
      </c>
      <c r="K126" s="9"/>
      <c r="L126" s="9"/>
      <c r="M126" s="10" t="s">
        <v>358</v>
      </c>
      <c r="N126" s="10" t="str">
        <f>IFERROR(VLOOKUP(M126,[1]DESC!A:B,2,FALSE),"")</f>
        <v/>
      </c>
      <c r="O126" s="9"/>
      <c r="P126" s="9"/>
      <c r="Q126" s="9"/>
      <c r="R126" s="9"/>
      <c r="S126" s="9"/>
      <c r="T126" s="11"/>
      <c r="U126" s="12" t="s">
        <v>37</v>
      </c>
      <c r="V126" s="12" t="s">
        <v>47</v>
      </c>
      <c r="W126" s="9">
        <v>10</v>
      </c>
      <c r="X126" s="9" t="s">
        <v>39</v>
      </c>
      <c r="Y126" s="9" t="s">
        <v>40</v>
      </c>
      <c r="Z126" s="9" t="s">
        <v>41</v>
      </c>
      <c r="AA126" s="9" t="s">
        <v>42</v>
      </c>
      <c r="AB126" s="9"/>
      <c r="AC126" s="9"/>
    </row>
    <row r="127" spans="1:29" ht="22.5" customHeight="1">
      <c r="A127" s="9" t="s">
        <v>29</v>
      </c>
      <c r="B127" s="9" t="s">
        <v>359</v>
      </c>
      <c r="C127" s="9"/>
      <c r="D127" s="9" t="s">
        <v>31</v>
      </c>
      <c r="E127" s="9" t="s">
        <v>44</v>
      </c>
      <c r="F127" s="9" t="s">
        <v>33</v>
      </c>
      <c r="G127" s="9" t="s">
        <v>34</v>
      </c>
      <c r="H127" s="10"/>
      <c r="I127" s="9"/>
      <c r="J127" s="9" t="s">
        <v>35</v>
      </c>
      <c r="K127" s="9"/>
      <c r="L127" s="9"/>
      <c r="M127" s="10" t="s">
        <v>360</v>
      </c>
      <c r="N127" s="10" t="str">
        <f>IFERROR(VLOOKUP(M127,[1]DESC!A:B,2,FALSE),"")</f>
        <v/>
      </c>
      <c r="O127" s="9"/>
      <c r="P127" s="9"/>
      <c r="Q127" s="9"/>
      <c r="R127" s="9"/>
      <c r="S127" s="9"/>
      <c r="T127" s="11"/>
      <c r="U127" s="12" t="s">
        <v>46</v>
      </c>
      <c r="V127" s="12" t="s">
        <v>47</v>
      </c>
      <c r="W127" s="9">
        <v>10</v>
      </c>
      <c r="X127" s="9" t="s">
        <v>39</v>
      </c>
      <c r="Y127" s="9" t="s">
        <v>40</v>
      </c>
      <c r="Z127" s="9" t="s">
        <v>41</v>
      </c>
      <c r="AA127" s="9" t="s">
        <v>42</v>
      </c>
      <c r="AB127" s="9"/>
      <c r="AC127" s="9"/>
    </row>
    <row r="128" spans="1:29" ht="22.5" customHeight="1">
      <c r="A128" s="9" t="s">
        <v>29</v>
      </c>
      <c r="B128" s="9" t="s">
        <v>361</v>
      </c>
      <c r="C128" s="9"/>
      <c r="D128" s="9" t="s">
        <v>31</v>
      </c>
      <c r="E128" s="9" t="s">
        <v>44</v>
      </c>
      <c r="F128" s="9" t="s">
        <v>33</v>
      </c>
      <c r="G128" s="9" t="s">
        <v>34</v>
      </c>
      <c r="H128" s="10" t="s">
        <v>362</v>
      </c>
      <c r="I128" s="9"/>
      <c r="J128" s="9" t="s">
        <v>49</v>
      </c>
      <c r="K128" s="9"/>
      <c r="L128" s="9"/>
      <c r="M128" s="10" t="s">
        <v>363</v>
      </c>
      <c r="N128" s="10" t="str">
        <f>IFERROR(VLOOKUP(M128,[1]DESC!A:B,2,FALSE),"")</f>
        <v/>
      </c>
      <c r="O128" s="9"/>
      <c r="P128" s="9"/>
      <c r="Q128" s="9"/>
      <c r="R128" s="9"/>
      <c r="S128" s="9"/>
      <c r="T128" s="11"/>
      <c r="U128" s="12" t="s">
        <v>57</v>
      </c>
      <c r="V128" s="12" t="s">
        <v>47</v>
      </c>
      <c r="W128" s="9">
        <v>10</v>
      </c>
      <c r="X128" s="9" t="s">
        <v>39</v>
      </c>
      <c r="Y128" s="9" t="s">
        <v>40</v>
      </c>
      <c r="Z128" s="9" t="s">
        <v>41</v>
      </c>
      <c r="AA128" s="9" t="s">
        <v>42</v>
      </c>
      <c r="AB128" s="9"/>
      <c r="AC128" s="9"/>
    </row>
    <row r="129" spans="1:29" ht="22.5" customHeight="1">
      <c r="A129" s="9" t="s">
        <v>29</v>
      </c>
      <c r="B129" s="9" t="s">
        <v>361</v>
      </c>
      <c r="C129" s="9"/>
      <c r="D129" s="9" t="s">
        <v>31</v>
      </c>
      <c r="E129" s="9" t="s">
        <v>44</v>
      </c>
      <c r="F129" s="9" t="s">
        <v>33</v>
      </c>
      <c r="G129" s="9" t="s">
        <v>34</v>
      </c>
      <c r="H129" s="10" t="s">
        <v>364</v>
      </c>
      <c r="I129" s="9"/>
      <c r="J129" s="9" t="s">
        <v>49</v>
      </c>
      <c r="K129" s="9"/>
      <c r="L129" s="9"/>
      <c r="M129" s="10" t="s">
        <v>363</v>
      </c>
      <c r="N129" s="10" t="str">
        <f>IFERROR(VLOOKUP(M129,[1]DESC!A:B,2,FALSE),"")</f>
        <v/>
      </c>
      <c r="O129" s="9"/>
      <c r="P129" s="9"/>
      <c r="Q129" s="9"/>
      <c r="R129" s="9"/>
      <c r="S129" s="9"/>
      <c r="T129" s="11"/>
      <c r="U129" s="12" t="s">
        <v>57</v>
      </c>
      <c r="V129" s="12" t="s">
        <v>47</v>
      </c>
      <c r="W129" s="9">
        <v>10</v>
      </c>
      <c r="X129" s="9" t="s">
        <v>39</v>
      </c>
      <c r="Y129" s="9" t="s">
        <v>40</v>
      </c>
      <c r="Z129" s="9" t="s">
        <v>41</v>
      </c>
      <c r="AA129" s="9" t="s">
        <v>42</v>
      </c>
      <c r="AB129" s="9"/>
      <c r="AC129" s="9"/>
    </row>
    <row r="130" spans="1:29" ht="22.5" customHeight="1">
      <c r="A130" s="9" t="s">
        <v>29</v>
      </c>
      <c r="B130" s="9" t="s">
        <v>365</v>
      </c>
      <c r="C130" s="9"/>
      <c r="D130" s="9" t="s">
        <v>31</v>
      </c>
      <c r="E130" s="9" t="s">
        <v>44</v>
      </c>
      <c r="F130" s="9" t="s">
        <v>33</v>
      </c>
      <c r="G130" s="9" t="s">
        <v>34</v>
      </c>
      <c r="H130" s="10" t="s">
        <v>366</v>
      </c>
      <c r="I130" s="9"/>
      <c r="J130" s="9" t="s">
        <v>49</v>
      </c>
      <c r="K130" s="9"/>
      <c r="L130" s="9"/>
      <c r="M130" s="10" t="s">
        <v>367</v>
      </c>
      <c r="N130" s="10" t="str">
        <f>IFERROR(VLOOKUP(M130,[1]DESC!A:B,2,FALSE),"")</f>
        <v/>
      </c>
      <c r="O130" s="9"/>
      <c r="P130" s="9"/>
      <c r="Q130" s="9"/>
      <c r="R130" s="9"/>
      <c r="S130" s="9"/>
      <c r="T130" s="11"/>
      <c r="U130" s="12" t="s">
        <v>57</v>
      </c>
      <c r="V130" s="12" t="s">
        <v>47</v>
      </c>
      <c r="W130" s="9">
        <v>10</v>
      </c>
      <c r="X130" s="9" t="s">
        <v>39</v>
      </c>
      <c r="Y130" s="9" t="s">
        <v>40</v>
      </c>
      <c r="Z130" s="9" t="s">
        <v>41</v>
      </c>
      <c r="AA130" s="9" t="s">
        <v>42</v>
      </c>
      <c r="AB130" s="9"/>
      <c r="AC130" s="9"/>
    </row>
    <row r="131" spans="1:29" ht="22.5" customHeight="1">
      <c r="A131" s="9" t="s">
        <v>29</v>
      </c>
      <c r="B131" s="9" t="s">
        <v>365</v>
      </c>
      <c r="C131" s="9"/>
      <c r="D131" s="9" t="s">
        <v>31</v>
      </c>
      <c r="E131" s="9" t="s">
        <v>44</v>
      </c>
      <c r="F131" s="9" t="s">
        <v>33</v>
      </c>
      <c r="G131" s="9" t="s">
        <v>34</v>
      </c>
      <c r="H131" s="10" t="s">
        <v>368</v>
      </c>
      <c r="I131" s="9"/>
      <c r="J131" s="9" t="s">
        <v>49</v>
      </c>
      <c r="K131" s="9"/>
      <c r="L131" s="9"/>
      <c r="M131" s="10" t="s">
        <v>367</v>
      </c>
      <c r="N131" s="10" t="str">
        <f>IFERROR(VLOOKUP(M131,[1]DESC!A:B,2,FALSE),"")</f>
        <v/>
      </c>
      <c r="O131" s="9"/>
      <c r="P131" s="9"/>
      <c r="Q131" s="9"/>
      <c r="R131" s="9"/>
      <c r="S131" s="9"/>
      <c r="T131" s="11"/>
      <c r="U131" s="12" t="s">
        <v>57</v>
      </c>
      <c r="V131" s="12" t="s">
        <v>47</v>
      </c>
      <c r="W131" s="9">
        <v>10</v>
      </c>
      <c r="X131" s="9" t="s">
        <v>39</v>
      </c>
      <c r="Y131" s="9" t="s">
        <v>40</v>
      </c>
      <c r="Z131" s="9" t="s">
        <v>41</v>
      </c>
      <c r="AA131" s="9" t="s">
        <v>42</v>
      </c>
      <c r="AB131" s="9"/>
      <c r="AC131" s="9"/>
    </row>
    <row r="132" spans="1:29" ht="22.5" customHeight="1">
      <c r="A132" s="9" t="s">
        <v>29</v>
      </c>
      <c r="B132" s="9" t="s">
        <v>369</v>
      </c>
      <c r="C132" s="9"/>
      <c r="D132" s="9" t="s">
        <v>31</v>
      </c>
      <c r="E132" s="9" t="s">
        <v>44</v>
      </c>
      <c r="F132" s="9" t="s">
        <v>33</v>
      </c>
      <c r="G132" s="9" t="s">
        <v>34</v>
      </c>
      <c r="H132" s="10" t="s">
        <v>370</v>
      </c>
      <c r="I132" s="9"/>
      <c r="J132" s="9" t="s">
        <v>49</v>
      </c>
      <c r="K132" s="9"/>
      <c r="L132" s="9"/>
      <c r="M132" s="10" t="s">
        <v>371</v>
      </c>
      <c r="N132" s="10" t="str">
        <f>IFERROR(VLOOKUP(M132,[1]DESC!A:B,2,FALSE),"")</f>
        <v/>
      </c>
      <c r="O132" s="9"/>
      <c r="P132" s="9"/>
      <c r="Q132" s="9"/>
      <c r="R132" s="9"/>
      <c r="S132" s="9"/>
      <c r="T132" s="11"/>
      <c r="U132" s="12" t="s">
        <v>57</v>
      </c>
      <c r="V132" s="12" t="s">
        <v>47</v>
      </c>
      <c r="W132" s="9">
        <v>10</v>
      </c>
      <c r="X132" s="9" t="s">
        <v>39</v>
      </c>
      <c r="Y132" s="9" t="s">
        <v>40</v>
      </c>
      <c r="Z132" s="9" t="s">
        <v>41</v>
      </c>
      <c r="AA132" s="9" t="s">
        <v>42</v>
      </c>
      <c r="AB132" s="9"/>
      <c r="AC132" s="9"/>
    </row>
    <row r="133" spans="1:29" ht="22.5" customHeight="1">
      <c r="A133" s="9" t="s">
        <v>29</v>
      </c>
      <c r="B133" s="9" t="s">
        <v>369</v>
      </c>
      <c r="C133" s="9"/>
      <c r="D133" s="9" t="s">
        <v>31</v>
      </c>
      <c r="E133" s="9" t="s">
        <v>44</v>
      </c>
      <c r="F133" s="9" t="s">
        <v>33</v>
      </c>
      <c r="G133" s="9" t="s">
        <v>34</v>
      </c>
      <c r="H133" s="10" t="s">
        <v>362</v>
      </c>
      <c r="I133" s="9"/>
      <c r="J133" s="9" t="s">
        <v>49</v>
      </c>
      <c r="K133" s="9"/>
      <c r="L133" s="9"/>
      <c r="M133" s="10" t="s">
        <v>371</v>
      </c>
      <c r="N133" s="10" t="str">
        <f>IFERROR(VLOOKUP(M133,[1]DESC!A:B,2,FALSE),"")</f>
        <v/>
      </c>
      <c r="O133" s="9"/>
      <c r="P133" s="9"/>
      <c r="Q133" s="9"/>
      <c r="R133" s="9"/>
      <c r="S133" s="9"/>
      <c r="T133" s="11"/>
      <c r="U133" s="12" t="s">
        <v>57</v>
      </c>
      <c r="V133" s="12" t="s">
        <v>47</v>
      </c>
      <c r="W133" s="9">
        <v>10</v>
      </c>
      <c r="X133" s="9" t="s">
        <v>39</v>
      </c>
      <c r="Y133" s="9" t="s">
        <v>40</v>
      </c>
      <c r="Z133" s="9" t="s">
        <v>41</v>
      </c>
      <c r="AA133" s="9" t="s">
        <v>42</v>
      </c>
      <c r="AB133" s="9"/>
      <c r="AC133" s="9"/>
    </row>
    <row r="134" spans="1:29" ht="22.5" customHeight="1">
      <c r="A134" s="9" t="s">
        <v>29</v>
      </c>
      <c r="B134" s="9" t="s">
        <v>372</v>
      </c>
      <c r="C134" s="9"/>
      <c r="D134" s="9" t="s">
        <v>31</v>
      </c>
      <c r="E134" s="9" t="s">
        <v>44</v>
      </c>
      <c r="F134" s="9" t="s">
        <v>33</v>
      </c>
      <c r="G134" s="9" t="s">
        <v>34</v>
      </c>
      <c r="H134" s="10"/>
      <c r="I134" s="9"/>
      <c r="J134" s="9" t="s">
        <v>49</v>
      </c>
      <c r="K134" s="9"/>
      <c r="L134" s="9"/>
      <c r="M134" s="10" t="s">
        <v>373</v>
      </c>
      <c r="N134" s="10" t="str">
        <f>IFERROR(VLOOKUP(M134,[1]DESC!A:B,2,FALSE),"")</f>
        <v/>
      </c>
      <c r="O134" s="9"/>
      <c r="P134" s="9"/>
      <c r="Q134" s="9"/>
      <c r="R134" s="9"/>
      <c r="S134" s="9"/>
      <c r="T134" s="11"/>
      <c r="U134" s="12" t="s">
        <v>37</v>
      </c>
      <c r="V134" s="12" t="s">
        <v>47</v>
      </c>
      <c r="W134" s="9">
        <v>10</v>
      </c>
      <c r="X134" s="9" t="s">
        <v>39</v>
      </c>
      <c r="Y134" s="9" t="s">
        <v>40</v>
      </c>
      <c r="Z134" s="9" t="s">
        <v>41</v>
      </c>
      <c r="AA134" s="9" t="s">
        <v>42</v>
      </c>
      <c r="AB134" s="9"/>
      <c r="AC134" s="9"/>
    </row>
    <row r="135" spans="1:29" ht="22.5" customHeight="1">
      <c r="A135" s="9" t="s">
        <v>29</v>
      </c>
      <c r="B135" s="9" t="s">
        <v>374</v>
      </c>
      <c r="C135" s="9"/>
      <c r="D135" s="9" t="s">
        <v>31</v>
      </c>
      <c r="E135" s="9" t="s">
        <v>44</v>
      </c>
      <c r="F135" s="9" t="s">
        <v>33</v>
      </c>
      <c r="G135" s="9" t="s">
        <v>34</v>
      </c>
      <c r="H135" s="10" t="s">
        <v>375</v>
      </c>
      <c r="I135" s="9"/>
      <c r="J135" s="9" t="s">
        <v>49</v>
      </c>
      <c r="K135" s="9"/>
      <c r="L135" s="9"/>
      <c r="M135" s="10" t="s">
        <v>376</v>
      </c>
      <c r="N135" s="10" t="str">
        <f>IFERROR(VLOOKUP(M135,[1]DESC!A:B,2,FALSE),"")</f>
        <v/>
      </c>
      <c r="O135" s="9"/>
      <c r="P135" s="9"/>
      <c r="Q135" s="9"/>
      <c r="R135" s="9"/>
      <c r="S135" s="9"/>
      <c r="T135" s="11"/>
      <c r="U135" s="12" t="s">
        <v>57</v>
      </c>
      <c r="V135" s="12" t="s">
        <v>47</v>
      </c>
      <c r="W135" s="9">
        <v>10</v>
      </c>
      <c r="X135" s="9" t="s">
        <v>39</v>
      </c>
      <c r="Y135" s="9" t="s">
        <v>40</v>
      </c>
      <c r="Z135" s="9" t="s">
        <v>41</v>
      </c>
      <c r="AA135" s="9" t="s">
        <v>42</v>
      </c>
      <c r="AB135" s="9"/>
      <c r="AC135" s="9"/>
    </row>
    <row r="136" spans="1:29" ht="22.5" customHeight="1">
      <c r="A136" s="9" t="s">
        <v>29</v>
      </c>
      <c r="B136" s="9" t="s">
        <v>374</v>
      </c>
      <c r="C136" s="9"/>
      <c r="D136" s="9" t="s">
        <v>31</v>
      </c>
      <c r="E136" s="9" t="s">
        <v>44</v>
      </c>
      <c r="F136" s="9" t="s">
        <v>33</v>
      </c>
      <c r="G136" s="9" t="s">
        <v>34</v>
      </c>
      <c r="H136" s="10" t="s">
        <v>377</v>
      </c>
      <c r="I136" s="9"/>
      <c r="J136" s="9" t="s">
        <v>49</v>
      </c>
      <c r="K136" s="9"/>
      <c r="L136" s="9"/>
      <c r="M136" s="10" t="s">
        <v>376</v>
      </c>
      <c r="N136" s="10" t="str">
        <f>IFERROR(VLOOKUP(M136,[1]DESC!A:B,2,FALSE),"")</f>
        <v/>
      </c>
      <c r="O136" s="9"/>
      <c r="P136" s="9"/>
      <c r="Q136" s="9"/>
      <c r="R136" s="9"/>
      <c r="S136" s="9"/>
      <c r="T136" s="11"/>
      <c r="U136" s="12" t="s">
        <v>57</v>
      </c>
      <c r="V136" s="12" t="s">
        <v>47</v>
      </c>
      <c r="W136" s="9">
        <v>10</v>
      </c>
      <c r="X136" s="9" t="s">
        <v>39</v>
      </c>
      <c r="Y136" s="9" t="s">
        <v>40</v>
      </c>
      <c r="Z136" s="9" t="s">
        <v>41</v>
      </c>
      <c r="AA136" s="9" t="s">
        <v>42</v>
      </c>
      <c r="AB136" s="9"/>
      <c r="AC136" s="9"/>
    </row>
    <row r="137" spans="1:29" ht="22.5" customHeight="1">
      <c r="A137" s="9" t="s">
        <v>29</v>
      </c>
      <c r="B137" s="9" t="s">
        <v>378</v>
      </c>
      <c r="C137" s="9"/>
      <c r="D137" s="9" t="s">
        <v>31</v>
      </c>
      <c r="E137" s="9" t="s">
        <v>44</v>
      </c>
      <c r="F137" s="9" t="s">
        <v>33</v>
      </c>
      <c r="G137" s="9" t="s">
        <v>34</v>
      </c>
      <c r="H137" s="10" t="s">
        <v>379</v>
      </c>
      <c r="I137" s="9"/>
      <c r="J137" s="9" t="s">
        <v>35</v>
      </c>
      <c r="K137" s="9"/>
      <c r="L137" s="9"/>
      <c r="M137" s="10" t="s">
        <v>380</v>
      </c>
      <c r="N137" s="10" t="str">
        <f>IFERROR(VLOOKUP(M137,[1]DESC!A:B,2,FALSE),"")</f>
        <v/>
      </c>
      <c r="O137" s="9"/>
      <c r="P137" s="9"/>
      <c r="Q137" s="9"/>
      <c r="R137" s="9"/>
      <c r="S137" s="9"/>
      <c r="T137" s="11"/>
      <c r="U137" s="12" t="s">
        <v>57</v>
      </c>
      <c r="V137" s="12" t="s">
        <v>47</v>
      </c>
      <c r="W137" s="9">
        <v>10</v>
      </c>
      <c r="X137" s="9" t="s">
        <v>39</v>
      </c>
      <c r="Y137" s="9" t="s">
        <v>40</v>
      </c>
      <c r="Z137" s="9" t="s">
        <v>41</v>
      </c>
      <c r="AA137" s="9" t="s">
        <v>42</v>
      </c>
      <c r="AB137" s="9"/>
      <c r="AC137" s="9"/>
    </row>
    <row r="138" spans="1:29" ht="22.5" customHeight="1">
      <c r="A138" s="9" t="s">
        <v>29</v>
      </c>
      <c r="B138" s="9" t="s">
        <v>378</v>
      </c>
      <c r="C138" s="9"/>
      <c r="D138" s="9" t="s">
        <v>31</v>
      </c>
      <c r="E138" s="9" t="s">
        <v>44</v>
      </c>
      <c r="F138" s="9" t="s">
        <v>33</v>
      </c>
      <c r="G138" s="9" t="s">
        <v>34</v>
      </c>
      <c r="H138" s="10" t="s">
        <v>381</v>
      </c>
      <c r="I138" s="9"/>
      <c r="J138" s="9" t="s">
        <v>35</v>
      </c>
      <c r="K138" s="9"/>
      <c r="L138" s="9"/>
      <c r="M138" s="10" t="s">
        <v>380</v>
      </c>
      <c r="N138" s="10" t="str">
        <f>IFERROR(VLOOKUP(M138,[1]DESC!A:B,2,FALSE),"")</f>
        <v/>
      </c>
      <c r="O138" s="9"/>
      <c r="P138" s="9"/>
      <c r="Q138" s="9"/>
      <c r="R138" s="9"/>
      <c r="S138" s="9"/>
      <c r="T138" s="11"/>
      <c r="U138" s="12" t="s">
        <v>57</v>
      </c>
      <c r="V138" s="12" t="s">
        <v>47</v>
      </c>
      <c r="W138" s="9">
        <v>10</v>
      </c>
      <c r="X138" s="9" t="s">
        <v>39</v>
      </c>
      <c r="Y138" s="9" t="s">
        <v>40</v>
      </c>
      <c r="Z138" s="9" t="s">
        <v>41</v>
      </c>
      <c r="AA138" s="9" t="s">
        <v>42</v>
      </c>
      <c r="AB138" s="9"/>
      <c r="AC138" s="9"/>
    </row>
    <row r="139" spans="1:29" ht="22.5" customHeight="1">
      <c r="A139" s="9" t="s">
        <v>29</v>
      </c>
      <c r="B139" s="9" t="s">
        <v>382</v>
      </c>
      <c r="C139" s="9"/>
      <c r="D139" s="9" t="s">
        <v>31</v>
      </c>
      <c r="E139" s="9" t="s">
        <v>44</v>
      </c>
      <c r="F139" s="9" t="s">
        <v>33</v>
      </c>
      <c r="G139" s="9" t="s">
        <v>34</v>
      </c>
      <c r="H139" s="10"/>
      <c r="I139" s="9"/>
      <c r="J139" s="9" t="s">
        <v>35</v>
      </c>
      <c r="K139" s="9"/>
      <c r="L139" s="9"/>
      <c r="M139" s="10" t="s">
        <v>383</v>
      </c>
      <c r="N139" s="10" t="str">
        <f>IFERROR(VLOOKUP(M139,[1]DESC!A:B,2,FALSE),"")</f>
        <v/>
      </c>
      <c r="O139" s="9"/>
      <c r="P139" s="9"/>
      <c r="Q139" s="9"/>
      <c r="R139" s="9"/>
      <c r="S139" s="9"/>
      <c r="T139" s="11"/>
      <c r="U139" s="12" t="s">
        <v>37</v>
      </c>
      <c r="V139" s="12" t="s">
        <v>38</v>
      </c>
      <c r="W139" s="9">
        <v>10</v>
      </c>
      <c r="X139" s="9" t="s">
        <v>39</v>
      </c>
      <c r="Y139" s="9" t="s">
        <v>40</v>
      </c>
      <c r="Z139" s="9" t="s">
        <v>41</v>
      </c>
      <c r="AA139" s="9" t="s">
        <v>42</v>
      </c>
      <c r="AB139" s="9"/>
      <c r="AC139" s="9"/>
    </row>
    <row r="140" spans="1:29" ht="22.5" customHeight="1">
      <c r="A140" s="9" t="s">
        <v>29</v>
      </c>
      <c r="B140" s="9" t="s">
        <v>384</v>
      </c>
      <c r="C140" s="9"/>
      <c r="D140" s="9" t="s">
        <v>31</v>
      </c>
      <c r="E140" s="9" t="s">
        <v>44</v>
      </c>
      <c r="F140" s="9" t="s">
        <v>33</v>
      </c>
      <c r="G140" s="9" t="s">
        <v>34</v>
      </c>
      <c r="H140" s="10"/>
      <c r="I140" s="9"/>
      <c r="J140" s="9" t="s">
        <v>35</v>
      </c>
      <c r="K140" s="9"/>
      <c r="L140" s="9"/>
      <c r="M140" s="10" t="s">
        <v>385</v>
      </c>
      <c r="N140" s="10" t="str">
        <f>IFERROR(VLOOKUP(M140,[1]DESC!A:B,2,FALSE),"")</f>
        <v/>
      </c>
      <c r="O140" s="9"/>
      <c r="P140" s="9"/>
      <c r="Q140" s="9"/>
      <c r="R140" s="9"/>
      <c r="S140" s="9"/>
      <c r="T140" s="11"/>
      <c r="U140" s="12" t="s">
        <v>37</v>
      </c>
      <c r="V140" s="12" t="s">
        <v>38</v>
      </c>
      <c r="W140" s="9">
        <v>10</v>
      </c>
      <c r="X140" s="9" t="s">
        <v>39</v>
      </c>
      <c r="Y140" s="9" t="s">
        <v>40</v>
      </c>
      <c r="Z140" s="9" t="s">
        <v>41</v>
      </c>
      <c r="AA140" s="9" t="s">
        <v>42</v>
      </c>
      <c r="AB140" s="9"/>
      <c r="AC140" s="9"/>
    </row>
    <row r="141" spans="1:29" ht="22.5" customHeight="1">
      <c r="A141" s="9" t="s">
        <v>29</v>
      </c>
      <c r="B141" s="9" t="s">
        <v>386</v>
      </c>
      <c r="C141" s="9"/>
      <c r="D141" s="9" t="s">
        <v>31</v>
      </c>
      <c r="E141" s="9" t="s">
        <v>32</v>
      </c>
      <c r="F141" s="9" t="s">
        <v>33</v>
      </c>
      <c r="G141" s="9" t="s">
        <v>34</v>
      </c>
      <c r="H141" s="10"/>
      <c r="I141" s="9"/>
      <c r="J141" s="9" t="s">
        <v>49</v>
      </c>
      <c r="K141" s="9"/>
      <c r="L141" s="9" t="s">
        <v>50</v>
      </c>
      <c r="M141" s="10" t="s">
        <v>387</v>
      </c>
      <c r="N141" s="10" t="str">
        <f>IFERROR(VLOOKUP(M141,[1]DESC!A:B,2,FALSE),"")</f>
        <v/>
      </c>
      <c r="O141" s="9"/>
      <c r="P141" s="9"/>
      <c r="Q141" s="9"/>
      <c r="R141" s="9"/>
      <c r="S141" s="9"/>
      <c r="T141" s="11"/>
      <c r="U141" s="12" t="s">
        <v>52</v>
      </c>
      <c r="V141" s="12" t="s">
        <v>52</v>
      </c>
      <c r="W141" s="9">
        <v>10</v>
      </c>
      <c r="X141" s="9" t="s">
        <v>39</v>
      </c>
      <c r="Y141" s="9" t="s">
        <v>40</v>
      </c>
      <c r="Z141" s="9" t="s">
        <v>41</v>
      </c>
      <c r="AA141" s="9" t="s">
        <v>42</v>
      </c>
      <c r="AB141" s="9"/>
      <c r="AC141" s="9"/>
    </row>
    <row r="142" spans="1:29" ht="22.5" customHeight="1">
      <c r="A142" s="9" t="s">
        <v>29</v>
      </c>
      <c r="B142" s="9" t="s">
        <v>388</v>
      </c>
      <c r="C142" s="9"/>
      <c r="D142" s="9" t="s">
        <v>31</v>
      </c>
      <c r="E142" s="9" t="s">
        <v>32</v>
      </c>
      <c r="F142" s="9" t="s">
        <v>33</v>
      </c>
      <c r="G142" s="9" t="s">
        <v>34</v>
      </c>
      <c r="H142" s="10"/>
      <c r="I142" s="9"/>
      <c r="J142" s="9" t="s">
        <v>49</v>
      </c>
      <c r="K142" s="9"/>
      <c r="L142" s="9" t="s">
        <v>50</v>
      </c>
      <c r="M142" s="10" t="s">
        <v>389</v>
      </c>
      <c r="N142" s="10" t="str">
        <f>IFERROR(VLOOKUP(M142,[1]DESC!A:B,2,FALSE),"")</f>
        <v/>
      </c>
      <c r="O142" s="9"/>
      <c r="P142" s="9"/>
      <c r="Q142" s="9"/>
      <c r="R142" s="9"/>
      <c r="S142" s="9"/>
      <c r="T142" s="11"/>
      <c r="U142" s="12" t="s">
        <v>52</v>
      </c>
      <c r="V142" s="12" t="s">
        <v>52</v>
      </c>
      <c r="W142" s="9">
        <v>10</v>
      </c>
      <c r="X142" s="9" t="s">
        <v>39</v>
      </c>
      <c r="Y142" s="9" t="s">
        <v>40</v>
      </c>
      <c r="Z142" s="9" t="s">
        <v>41</v>
      </c>
      <c r="AA142" s="9" t="s">
        <v>42</v>
      </c>
      <c r="AB142" s="9"/>
      <c r="AC142" s="9"/>
    </row>
    <row r="143" spans="1:29" ht="22.5" customHeight="1">
      <c r="A143" s="9" t="s">
        <v>29</v>
      </c>
      <c r="B143" s="9" t="s">
        <v>390</v>
      </c>
      <c r="C143" s="9"/>
      <c r="D143" s="9" t="s">
        <v>31</v>
      </c>
      <c r="E143" s="9" t="s">
        <v>32</v>
      </c>
      <c r="F143" s="9" t="s">
        <v>33</v>
      </c>
      <c r="G143" s="9" t="s">
        <v>34</v>
      </c>
      <c r="H143" s="10"/>
      <c r="I143" s="9"/>
      <c r="J143" s="9" t="s">
        <v>49</v>
      </c>
      <c r="K143" s="9"/>
      <c r="L143" s="9" t="s">
        <v>50</v>
      </c>
      <c r="M143" s="10" t="s">
        <v>391</v>
      </c>
      <c r="N143" s="10" t="str">
        <f>IFERROR(VLOOKUP(M143,[1]DESC!A:B,2,FALSE),"")</f>
        <v/>
      </c>
      <c r="O143" s="9"/>
      <c r="P143" s="9"/>
      <c r="Q143" s="9"/>
      <c r="R143" s="9"/>
      <c r="S143" s="9"/>
      <c r="T143" s="11"/>
      <c r="U143" s="12" t="s">
        <v>52</v>
      </c>
      <c r="V143" s="12" t="s">
        <v>52</v>
      </c>
      <c r="W143" s="9">
        <v>10</v>
      </c>
      <c r="X143" s="9" t="s">
        <v>39</v>
      </c>
      <c r="Y143" s="9" t="s">
        <v>40</v>
      </c>
      <c r="Z143" s="9" t="s">
        <v>41</v>
      </c>
      <c r="AA143" s="9" t="s">
        <v>42</v>
      </c>
      <c r="AB143" s="9"/>
      <c r="AC143" s="9"/>
    </row>
    <row r="144" spans="1:29" ht="22.5" customHeight="1">
      <c r="A144" s="9" t="s">
        <v>141</v>
      </c>
      <c r="B144" s="9" t="s">
        <v>392</v>
      </c>
      <c r="C144" s="9" t="s">
        <v>113</v>
      </c>
      <c r="D144" s="9" t="s">
        <v>76</v>
      </c>
      <c r="E144" s="9" t="s">
        <v>44</v>
      </c>
      <c r="F144" s="9" t="s">
        <v>33</v>
      </c>
      <c r="G144" s="9">
        <v>2</v>
      </c>
      <c r="H144" s="10" t="s">
        <v>393</v>
      </c>
      <c r="I144" s="9"/>
      <c r="J144" s="9" t="s">
        <v>35</v>
      </c>
      <c r="K144" s="9"/>
      <c r="L144" s="9"/>
      <c r="M144" s="10" t="s">
        <v>394</v>
      </c>
      <c r="N144" s="10" t="str">
        <f>IFERROR(VLOOKUP(M144,[1]DESC!A:B,2,FALSE),"")</f>
        <v/>
      </c>
      <c r="O144" s="9" t="s">
        <v>116</v>
      </c>
      <c r="P144" s="9" t="s">
        <v>117</v>
      </c>
      <c r="Q144" s="9" t="s">
        <v>118</v>
      </c>
      <c r="R144" s="9" t="s">
        <v>119</v>
      </c>
      <c r="S144" s="9" t="s">
        <v>120</v>
      </c>
      <c r="T144" s="11" t="s">
        <v>121</v>
      </c>
      <c r="U144" s="12" t="s">
        <v>46</v>
      </c>
      <c r="V144" s="12" t="s">
        <v>150</v>
      </c>
      <c r="W144" s="9">
        <v>0</v>
      </c>
      <c r="X144" s="9" t="s">
        <v>119</v>
      </c>
      <c r="Y144" s="9" t="s">
        <v>120</v>
      </c>
      <c r="Z144" s="9" t="s">
        <v>121</v>
      </c>
      <c r="AA144" s="9" t="s">
        <v>271</v>
      </c>
      <c r="AB144" s="12" t="s">
        <v>136</v>
      </c>
      <c r="AC144" s="9">
        <v>70</v>
      </c>
    </row>
    <row r="145" spans="1:29" ht="22.5" customHeight="1">
      <c r="A145" s="9" t="s">
        <v>141</v>
      </c>
      <c r="B145" s="9" t="s">
        <v>392</v>
      </c>
      <c r="C145" s="9" t="s">
        <v>113</v>
      </c>
      <c r="D145" s="9" t="s">
        <v>76</v>
      </c>
      <c r="E145" s="9" t="s">
        <v>44</v>
      </c>
      <c r="F145" s="9" t="s">
        <v>33</v>
      </c>
      <c r="G145" s="9">
        <v>2</v>
      </c>
      <c r="H145" s="10" t="s">
        <v>395</v>
      </c>
      <c r="I145" s="9"/>
      <c r="J145" s="9" t="s">
        <v>35</v>
      </c>
      <c r="K145" s="9"/>
      <c r="L145" s="9"/>
      <c r="M145" s="10" t="s">
        <v>394</v>
      </c>
      <c r="N145" s="10" t="str">
        <f>IFERROR(VLOOKUP(M145,[1]DESC!A:B,2,FALSE),"")</f>
        <v/>
      </c>
      <c r="O145" s="9" t="s">
        <v>116</v>
      </c>
      <c r="P145" s="9" t="s">
        <v>117</v>
      </c>
      <c r="Q145" s="9" t="s">
        <v>118</v>
      </c>
      <c r="R145" s="9" t="s">
        <v>119</v>
      </c>
      <c r="S145" s="9" t="s">
        <v>120</v>
      </c>
      <c r="T145" s="11" t="s">
        <v>121</v>
      </c>
      <c r="U145" s="12" t="s">
        <v>46</v>
      </c>
      <c r="V145" s="12" t="s">
        <v>150</v>
      </c>
      <c r="W145" s="9">
        <v>0</v>
      </c>
      <c r="X145" s="9" t="s">
        <v>119</v>
      </c>
      <c r="Y145" s="9" t="s">
        <v>120</v>
      </c>
      <c r="Z145" s="9" t="s">
        <v>121</v>
      </c>
      <c r="AA145" s="9" t="s">
        <v>271</v>
      </c>
      <c r="AB145" s="12" t="s">
        <v>136</v>
      </c>
      <c r="AC145" s="9">
        <v>70</v>
      </c>
    </row>
    <row r="146" spans="1:29" ht="22.5" customHeight="1">
      <c r="A146" s="9" t="s">
        <v>29</v>
      </c>
      <c r="B146" s="9" t="s">
        <v>396</v>
      </c>
      <c r="C146" s="9"/>
      <c r="D146" s="9" t="s">
        <v>31</v>
      </c>
      <c r="E146" s="9" t="s">
        <v>44</v>
      </c>
      <c r="F146" s="9" t="s">
        <v>33</v>
      </c>
      <c r="G146" s="9" t="s">
        <v>34</v>
      </c>
      <c r="H146" s="10"/>
      <c r="I146" s="9"/>
      <c r="J146" s="9" t="s">
        <v>49</v>
      </c>
      <c r="K146" s="9"/>
      <c r="L146" s="9"/>
      <c r="M146" s="10" t="s">
        <v>397</v>
      </c>
      <c r="N146" s="10" t="str">
        <f>IFERROR(VLOOKUP(M146,[1]DESC!A:B,2,FALSE),"")</f>
        <v/>
      </c>
      <c r="O146" s="9"/>
      <c r="P146" s="9"/>
      <c r="Q146" s="9"/>
      <c r="R146" s="9"/>
      <c r="S146" s="9"/>
      <c r="T146" s="11"/>
      <c r="U146" s="12" t="s">
        <v>37</v>
      </c>
      <c r="V146" s="12" t="s">
        <v>47</v>
      </c>
      <c r="W146" s="9">
        <v>10</v>
      </c>
      <c r="X146" s="9" t="s">
        <v>39</v>
      </c>
      <c r="Y146" s="9" t="s">
        <v>40</v>
      </c>
      <c r="Z146" s="9" t="s">
        <v>41</v>
      </c>
      <c r="AA146" s="9" t="s">
        <v>42</v>
      </c>
      <c r="AB146" s="9"/>
      <c r="AC146" s="9"/>
    </row>
    <row r="147" spans="1:29" ht="22.5" customHeight="1">
      <c r="A147" s="9" t="s">
        <v>29</v>
      </c>
      <c r="B147" s="9" t="s">
        <v>398</v>
      </c>
      <c r="C147" s="9"/>
      <c r="D147" s="9" t="s">
        <v>31</v>
      </c>
      <c r="E147" s="9" t="s">
        <v>44</v>
      </c>
      <c r="F147" s="9" t="s">
        <v>33</v>
      </c>
      <c r="G147" s="9" t="s">
        <v>34</v>
      </c>
      <c r="H147" s="10"/>
      <c r="I147" s="9"/>
      <c r="J147" s="9" t="s">
        <v>49</v>
      </c>
      <c r="K147" s="9"/>
      <c r="L147" s="9"/>
      <c r="M147" s="10" t="s">
        <v>399</v>
      </c>
      <c r="N147" s="10" t="str">
        <f>IFERROR(VLOOKUP(M147,[1]DESC!A:B,2,FALSE),"")</f>
        <v/>
      </c>
      <c r="O147" s="9"/>
      <c r="P147" s="9"/>
      <c r="Q147" s="9"/>
      <c r="R147" s="9"/>
      <c r="S147" s="9"/>
      <c r="T147" s="11"/>
      <c r="U147" s="12" t="s">
        <v>37</v>
      </c>
      <c r="V147" s="12" t="s">
        <v>47</v>
      </c>
      <c r="W147" s="9">
        <v>10</v>
      </c>
      <c r="X147" s="9" t="s">
        <v>39</v>
      </c>
      <c r="Y147" s="9" t="s">
        <v>40</v>
      </c>
      <c r="Z147" s="9" t="s">
        <v>41</v>
      </c>
      <c r="AA147" s="9" t="s">
        <v>42</v>
      </c>
      <c r="AB147" s="9"/>
      <c r="AC147" s="9"/>
    </row>
    <row r="148" spans="1:29" ht="22.5" customHeight="1">
      <c r="A148" s="9" t="s">
        <v>29</v>
      </c>
      <c r="B148" s="9" t="s">
        <v>400</v>
      </c>
      <c r="C148" s="9"/>
      <c r="D148" s="9" t="s">
        <v>31</v>
      </c>
      <c r="E148" s="9" t="s">
        <v>44</v>
      </c>
      <c r="F148" s="9" t="s">
        <v>33</v>
      </c>
      <c r="G148" s="9" t="s">
        <v>34</v>
      </c>
      <c r="H148" s="10"/>
      <c r="I148" s="9"/>
      <c r="J148" s="9" t="s">
        <v>49</v>
      </c>
      <c r="K148" s="9"/>
      <c r="L148" s="9"/>
      <c r="M148" s="10" t="s">
        <v>401</v>
      </c>
      <c r="N148" s="10" t="str">
        <f>IFERROR(VLOOKUP(M148,[1]DESC!A:B,2,FALSE),"")</f>
        <v/>
      </c>
      <c r="O148" s="9"/>
      <c r="P148" s="9"/>
      <c r="Q148" s="9"/>
      <c r="R148" s="9"/>
      <c r="S148" s="9"/>
      <c r="T148" s="11"/>
      <c r="U148" s="12" t="s">
        <v>37</v>
      </c>
      <c r="V148" s="12" t="s">
        <v>47</v>
      </c>
      <c r="W148" s="9">
        <v>10</v>
      </c>
      <c r="X148" s="9" t="s">
        <v>39</v>
      </c>
      <c r="Y148" s="9" t="s">
        <v>40</v>
      </c>
      <c r="Z148" s="9" t="s">
        <v>41</v>
      </c>
      <c r="AA148" s="9" t="s">
        <v>42</v>
      </c>
      <c r="AB148" s="9"/>
      <c r="AC148" s="9"/>
    </row>
    <row r="149" spans="1:29" ht="22.5" customHeight="1">
      <c r="A149" s="9" t="s">
        <v>73</v>
      </c>
      <c r="B149" s="9" t="s">
        <v>402</v>
      </c>
      <c r="C149" s="9" t="s">
        <v>113</v>
      </c>
      <c r="D149" s="9" t="s">
        <v>76</v>
      </c>
      <c r="E149" s="9"/>
      <c r="F149" s="9"/>
      <c r="G149" s="9">
        <v>1</v>
      </c>
      <c r="H149" s="10"/>
      <c r="I149" s="9"/>
      <c r="J149" s="9" t="s">
        <v>77</v>
      </c>
      <c r="K149" s="13" t="s">
        <v>78</v>
      </c>
      <c r="L149" s="9"/>
      <c r="M149" s="10" t="s">
        <v>403</v>
      </c>
      <c r="N149" s="10" t="s">
        <v>404</v>
      </c>
      <c r="O149" s="9" t="s">
        <v>116</v>
      </c>
      <c r="P149" s="9" t="s">
        <v>117</v>
      </c>
      <c r="Q149" s="9" t="s">
        <v>118</v>
      </c>
      <c r="R149" s="9" t="s">
        <v>119</v>
      </c>
      <c r="S149" s="9" t="s">
        <v>120</v>
      </c>
      <c r="T149" s="11" t="s">
        <v>121</v>
      </c>
      <c r="U149" s="12" t="s">
        <v>87</v>
      </c>
      <c r="V149" s="12" t="s">
        <v>405</v>
      </c>
      <c r="W149" s="9">
        <v>0</v>
      </c>
      <c r="X149" s="9" t="s">
        <v>119</v>
      </c>
      <c r="Y149" s="9" t="s">
        <v>120</v>
      </c>
      <c r="Z149" s="9" t="s">
        <v>121</v>
      </c>
      <c r="AA149" s="9" t="s">
        <v>271</v>
      </c>
      <c r="AB149" s="12" t="s">
        <v>406</v>
      </c>
      <c r="AC149" s="9">
        <v>33</v>
      </c>
    </row>
    <row r="150" spans="1:29" ht="22.5" customHeight="1">
      <c r="A150" s="9" t="s">
        <v>73</v>
      </c>
      <c r="B150" s="9" t="s">
        <v>407</v>
      </c>
      <c r="C150" s="9" t="s">
        <v>75</v>
      </c>
      <c r="D150" s="9" t="s">
        <v>76</v>
      </c>
      <c r="E150" s="9"/>
      <c r="F150" s="9"/>
      <c r="G150" s="9">
        <v>1</v>
      </c>
      <c r="H150" s="10"/>
      <c r="I150" s="9"/>
      <c r="J150" s="9" t="s">
        <v>77</v>
      </c>
      <c r="K150" s="13" t="s">
        <v>78</v>
      </c>
      <c r="L150" s="9"/>
      <c r="M150" s="10" t="s">
        <v>408</v>
      </c>
      <c r="N150" s="10" t="s">
        <v>409</v>
      </c>
      <c r="O150" s="9" t="s">
        <v>81</v>
      </c>
      <c r="P150" s="9" t="s">
        <v>82</v>
      </c>
      <c r="Q150" s="9" t="s">
        <v>83</v>
      </c>
      <c r="R150" s="9" t="s">
        <v>84</v>
      </c>
      <c r="S150" s="9" t="s">
        <v>85</v>
      </c>
      <c r="T150" s="11" t="s">
        <v>86</v>
      </c>
      <c r="U150" s="12" t="s">
        <v>87</v>
      </c>
      <c r="V150" s="12" t="s">
        <v>410</v>
      </c>
      <c r="W150" s="9">
        <v>0</v>
      </c>
      <c r="X150" s="9" t="s">
        <v>84</v>
      </c>
      <c r="Y150" s="9" t="s">
        <v>85</v>
      </c>
      <c r="Z150" s="9" t="s">
        <v>86</v>
      </c>
      <c r="AA150" s="9" t="s">
        <v>89</v>
      </c>
      <c r="AB150" s="12" t="s">
        <v>406</v>
      </c>
      <c r="AC150" s="9">
        <v>36</v>
      </c>
    </row>
    <row r="151" spans="1:29" ht="22.5" customHeight="1">
      <c r="A151" s="9" t="s">
        <v>73</v>
      </c>
      <c r="B151" s="9" t="s">
        <v>411</v>
      </c>
      <c r="C151" s="9" t="s">
        <v>113</v>
      </c>
      <c r="D151" s="9" t="s">
        <v>76</v>
      </c>
      <c r="E151" s="9"/>
      <c r="F151" s="9"/>
      <c r="G151" s="9">
        <v>1</v>
      </c>
      <c r="H151" s="10"/>
      <c r="I151" s="9"/>
      <c r="J151" s="9" t="s">
        <v>77</v>
      </c>
      <c r="K151" s="13" t="s">
        <v>78</v>
      </c>
      <c r="L151" s="9"/>
      <c r="M151" s="10" t="s">
        <v>412</v>
      </c>
      <c r="N151" s="10" t="s">
        <v>413</v>
      </c>
      <c r="O151" s="9" t="s">
        <v>116</v>
      </c>
      <c r="P151" s="9" t="s">
        <v>117</v>
      </c>
      <c r="Q151" s="9" t="s">
        <v>118</v>
      </c>
      <c r="R151" s="9" t="s">
        <v>119</v>
      </c>
      <c r="S151" s="9" t="s">
        <v>120</v>
      </c>
      <c r="T151" s="11" t="s">
        <v>121</v>
      </c>
      <c r="U151" s="12" t="s">
        <v>87</v>
      </c>
      <c r="V151" s="12" t="s">
        <v>405</v>
      </c>
      <c r="W151" s="9">
        <v>0</v>
      </c>
      <c r="X151" s="9" t="s">
        <v>119</v>
      </c>
      <c r="Y151" s="9" t="s">
        <v>120</v>
      </c>
      <c r="Z151" s="9" t="s">
        <v>121</v>
      </c>
      <c r="AA151" s="9" t="s">
        <v>271</v>
      </c>
      <c r="AB151" s="12" t="s">
        <v>406</v>
      </c>
      <c r="AC151" s="9">
        <v>32</v>
      </c>
    </row>
    <row r="152" spans="1:29" ht="22.5" customHeight="1">
      <c r="A152" s="9" t="s">
        <v>73</v>
      </c>
      <c r="B152" s="9" t="s">
        <v>414</v>
      </c>
      <c r="C152" s="9" t="s">
        <v>113</v>
      </c>
      <c r="D152" s="9" t="s">
        <v>76</v>
      </c>
      <c r="E152" s="9"/>
      <c r="F152" s="9"/>
      <c r="G152" s="9">
        <v>1</v>
      </c>
      <c r="H152" s="10"/>
      <c r="I152" s="9"/>
      <c r="J152" s="9" t="s">
        <v>77</v>
      </c>
      <c r="K152" s="13" t="s">
        <v>78</v>
      </c>
      <c r="L152" s="9"/>
      <c r="M152" s="10" t="s">
        <v>415</v>
      </c>
      <c r="N152" s="10" t="s">
        <v>416</v>
      </c>
      <c r="O152" s="9" t="s">
        <v>116</v>
      </c>
      <c r="P152" s="9" t="s">
        <v>117</v>
      </c>
      <c r="Q152" s="9" t="s">
        <v>118</v>
      </c>
      <c r="R152" s="9" t="s">
        <v>119</v>
      </c>
      <c r="S152" s="9" t="s">
        <v>120</v>
      </c>
      <c r="T152" s="11" t="s">
        <v>121</v>
      </c>
      <c r="U152" s="12" t="s">
        <v>87</v>
      </c>
      <c r="V152" s="12" t="s">
        <v>405</v>
      </c>
      <c r="W152" s="9">
        <v>0</v>
      </c>
      <c r="X152" s="9" t="s">
        <v>119</v>
      </c>
      <c r="Y152" s="9" t="s">
        <v>120</v>
      </c>
      <c r="Z152" s="9" t="s">
        <v>121</v>
      </c>
      <c r="AA152" s="9" t="s">
        <v>271</v>
      </c>
      <c r="AB152" s="12" t="s">
        <v>406</v>
      </c>
      <c r="AC152" s="9">
        <v>31</v>
      </c>
    </row>
    <row r="153" spans="1:29" ht="22.5" customHeight="1">
      <c r="A153" s="9" t="s">
        <v>73</v>
      </c>
      <c r="B153" s="9" t="s">
        <v>417</v>
      </c>
      <c r="C153" s="9" t="s">
        <v>113</v>
      </c>
      <c r="D153" s="9" t="s">
        <v>76</v>
      </c>
      <c r="E153" s="9"/>
      <c r="F153" s="9"/>
      <c r="G153" s="9">
        <v>1</v>
      </c>
      <c r="H153" s="10"/>
      <c r="I153" s="9"/>
      <c r="J153" s="9" t="s">
        <v>77</v>
      </c>
      <c r="K153" s="13" t="s">
        <v>78</v>
      </c>
      <c r="L153" s="9"/>
      <c r="M153" s="10" t="s">
        <v>418</v>
      </c>
      <c r="N153" s="10" t="s">
        <v>419</v>
      </c>
      <c r="O153" s="9" t="s">
        <v>116</v>
      </c>
      <c r="P153" s="9" t="s">
        <v>117</v>
      </c>
      <c r="Q153" s="9" t="s">
        <v>118</v>
      </c>
      <c r="R153" s="9" t="s">
        <v>119</v>
      </c>
      <c r="S153" s="9" t="s">
        <v>120</v>
      </c>
      <c r="T153" s="11" t="s">
        <v>121</v>
      </c>
      <c r="U153" s="12" t="s">
        <v>87</v>
      </c>
      <c r="V153" s="12" t="s">
        <v>405</v>
      </c>
      <c r="W153" s="9">
        <v>0</v>
      </c>
      <c r="X153" s="9" t="s">
        <v>119</v>
      </c>
      <c r="Y153" s="9" t="s">
        <v>120</v>
      </c>
      <c r="Z153" s="9" t="s">
        <v>121</v>
      </c>
      <c r="AA153" s="9" t="s">
        <v>271</v>
      </c>
      <c r="AB153" s="12" t="s">
        <v>406</v>
      </c>
      <c r="AC153" s="9">
        <v>30</v>
      </c>
    </row>
    <row r="154" spans="1:29" ht="22.5" customHeight="1">
      <c r="A154" s="9" t="s">
        <v>73</v>
      </c>
      <c r="B154" s="9" t="s">
        <v>420</v>
      </c>
      <c r="C154" s="9" t="s">
        <v>113</v>
      </c>
      <c r="D154" s="9" t="s">
        <v>76</v>
      </c>
      <c r="E154" s="9"/>
      <c r="F154" s="9"/>
      <c r="G154" s="9">
        <v>1</v>
      </c>
      <c r="H154" s="10"/>
      <c r="I154" s="9"/>
      <c r="J154" s="9" t="s">
        <v>77</v>
      </c>
      <c r="K154" s="13" t="s">
        <v>78</v>
      </c>
      <c r="L154" s="9"/>
      <c r="M154" s="10" t="s">
        <v>421</v>
      </c>
      <c r="N154" s="10" t="s">
        <v>422</v>
      </c>
      <c r="O154" s="9" t="s">
        <v>116</v>
      </c>
      <c r="P154" s="9" t="s">
        <v>117</v>
      </c>
      <c r="Q154" s="9" t="s">
        <v>118</v>
      </c>
      <c r="R154" s="9" t="s">
        <v>119</v>
      </c>
      <c r="S154" s="9" t="s">
        <v>120</v>
      </c>
      <c r="T154" s="11" t="s">
        <v>121</v>
      </c>
      <c r="U154" s="12" t="s">
        <v>87</v>
      </c>
      <c r="V154" s="12" t="s">
        <v>423</v>
      </c>
      <c r="W154" s="9">
        <v>0</v>
      </c>
      <c r="X154" s="9" t="s">
        <v>119</v>
      </c>
      <c r="Y154" s="9" t="s">
        <v>120</v>
      </c>
      <c r="Z154" s="9" t="s">
        <v>121</v>
      </c>
      <c r="AA154" s="9" t="s">
        <v>271</v>
      </c>
      <c r="AB154" s="12" t="s">
        <v>406</v>
      </c>
      <c r="AC154" s="9">
        <v>34</v>
      </c>
    </row>
    <row r="155" spans="1:29" ht="22.5" customHeight="1">
      <c r="A155" s="9" t="s">
        <v>73</v>
      </c>
      <c r="B155" s="9" t="s">
        <v>424</v>
      </c>
      <c r="C155" s="9" t="s">
        <v>113</v>
      </c>
      <c r="D155" s="9" t="s">
        <v>76</v>
      </c>
      <c r="E155" s="9"/>
      <c r="F155" s="9"/>
      <c r="G155" s="9">
        <v>1</v>
      </c>
      <c r="H155" s="10"/>
      <c r="I155" s="9"/>
      <c r="J155" s="9" t="s">
        <v>77</v>
      </c>
      <c r="K155" s="13" t="s">
        <v>78</v>
      </c>
      <c r="L155" s="9"/>
      <c r="M155" s="10" t="s">
        <v>425</v>
      </c>
      <c r="N155" s="10" t="s">
        <v>426</v>
      </c>
      <c r="O155" s="9" t="s">
        <v>116</v>
      </c>
      <c r="P155" s="9" t="s">
        <v>117</v>
      </c>
      <c r="Q155" s="9" t="s">
        <v>118</v>
      </c>
      <c r="R155" s="9" t="s">
        <v>119</v>
      </c>
      <c r="S155" s="9" t="s">
        <v>120</v>
      </c>
      <c r="T155" s="11" t="s">
        <v>121</v>
      </c>
      <c r="U155" s="12" t="s">
        <v>87</v>
      </c>
      <c r="V155" s="12" t="s">
        <v>405</v>
      </c>
      <c r="W155" s="9">
        <v>0</v>
      </c>
      <c r="X155" s="9" t="s">
        <v>119</v>
      </c>
      <c r="Y155" s="9" t="s">
        <v>120</v>
      </c>
      <c r="Z155" s="9" t="s">
        <v>121</v>
      </c>
      <c r="AA155" s="9" t="s">
        <v>271</v>
      </c>
      <c r="AB155" s="12" t="s">
        <v>406</v>
      </c>
      <c r="AC155" s="9">
        <v>29</v>
      </c>
    </row>
    <row r="156" spans="1:29" ht="22.5" customHeight="1">
      <c r="A156" s="9" t="s">
        <v>29</v>
      </c>
      <c r="B156" s="9" t="s">
        <v>338</v>
      </c>
      <c r="C156" s="9"/>
      <c r="D156" s="9" t="s">
        <v>31</v>
      </c>
      <c r="E156" s="9" t="s">
        <v>44</v>
      </c>
      <c r="F156" s="9" t="s">
        <v>33</v>
      </c>
      <c r="G156" s="9" t="s">
        <v>34</v>
      </c>
      <c r="H156" s="10" t="s">
        <v>337</v>
      </c>
      <c r="I156" s="9"/>
      <c r="J156" s="9" t="s">
        <v>49</v>
      </c>
      <c r="K156" s="9"/>
      <c r="L156" s="9"/>
      <c r="M156" s="10" t="s">
        <v>427</v>
      </c>
      <c r="N156" s="10" t="str">
        <f>IFERROR(VLOOKUP(M156,[1]DESC!A:B,2,FALSE),"")</f>
        <v/>
      </c>
      <c r="O156" s="9"/>
      <c r="P156" s="9"/>
      <c r="Q156" s="9"/>
      <c r="R156" s="9"/>
      <c r="S156" s="9"/>
      <c r="T156" s="11"/>
      <c r="U156" s="12" t="s">
        <v>57</v>
      </c>
      <c r="V156" s="12" t="s">
        <v>47</v>
      </c>
      <c r="W156" s="9">
        <v>10</v>
      </c>
      <c r="X156" s="9" t="s">
        <v>39</v>
      </c>
      <c r="Y156" s="9" t="s">
        <v>40</v>
      </c>
      <c r="Z156" s="9" t="s">
        <v>41</v>
      </c>
      <c r="AA156" s="9" t="s">
        <v>42</v>
      </c>
      <c r="AB156" s="9"/>
      <c r="AC156" s="9"/>
    </row>
    <row r="157" spans="1:29" ht="22.5" customHeight="1">
      <c r="A157" s="9" t="s">
        <v>29</v>
      </c>
      <c r="B157" s="9" t="s">
        <v>338</v>
      </c>
      <c r="C157" s="9"/>
      <c r="D157" s="9" t="s">
        <v>31</v>
      </c>
      <c r="E157" s="9" t="s">
        <v>44</v>
      </c>
      <c r="F157" s="9" t="s">
        <v>33</v>
      </c>
      <c r="G157" s="9" t="s">
        <v>34</v>
      </c>
      <c r="H157" s="10" t="s">
        <v>428</v>
      </c>
      <c r="I157" s="9"/>
      <c r="J157" s="9" t="s">
        <v>49</v>
      </c>
      <c r="K157" s="9"/>
      <c r="L157" s="9"/>
      <c r="M157" s="10" t="s">
        <v>427</v>
      </c>
      <c r="N157" s="10" t="str">
        <f>IFERROR(VLOOKUP(M157,[1]DESC!A:B,2,FALSE),"")</f>
        <v/>
      </c>
      <c r="O157" s="9"/>
      <c r="P157" s="9"/>
      <c r="Q157" s="9"/>
      <c r="R157" s="9"/>
      <c r="S157" s="9"/>
      <c r="T157" s="11"/>
      <c r="U157" s="12" t="s">
        <v>57</v>
      </c>
      <c r="V157" s="12" t="s">
        <v>47</v>
      </c>
      <c r="W157" s="9">
        <v>10</v>
      </c>
      <c r="X157" s="9" t="s">
        <v>39</v>
      </c>
      <c r="Y157" s="9" t="s">
        <v>40</v>
      </c>
      <c r="Z157" s="9" t="s">
        <v>41</v>
      </c>
      <c r="AA157" s="9" t="s">
        <v>42</v>
      </c>
      <c r="AB157" s="9"/>
      <c r="AC157" s="9"/>
    </row>
    <row r="158" spans="1:29" ht="22.5" customHeight="1">
      <c r="A158" s="9" t="s">
        <v>29</v>
      </c>
      <c r="B158" s="9" t="s">
        <v>429</v>
      </c>
      <c r="C158" s="9"/>
      <c r="D158" s="9" t="s">
        <v>31</v>
      </c>
      <c r="E158" s="9" t="s">
        <v>32</v>
      </c>
      <c r="F158" s="9" t="s">
        <v>33</v>
      </c>
      <c r="G158" s="9" t="s">
        <v>34</v>
      </c>
      <c r="H158" s="10"/>
      <c r="I158" s="9"/>
      <c r="J158" s="9" t="s">
        <v>35</v>
      </c>
      <c r="K158" s="9"/>
      <c r="L158" s="9"/>
      <c r="M158" s="10" t="s">
        <v>430</v>
      </c>
      <c r="N158" s="10" t="str">
        <f>IFERROR(VLOOKUP(M158,[1]DESC!A:B,2,FALSE),"")</f>
        <v xml:space="preserve">  OPERATIONAL RISK  
 It : La metrica misura la più rilevante perdita operativa contabilizzata nel trimestre di riferimento 
 En : The metric measures the largest operating loss recorded in the reference quarter </v>
      </c>
      <c r="O158" s="9"/>
      <c r="P158" s="9"/>
      <c r="Q158" s="9"/>
      <c r="R158" s="9"/>
      <c r="S158" s="9"/>
      <c r="T158" s="11"/>
      <c r="U158" s="12" t="s">
        <v>46</v>
      </c>
      <c r="V158" s="12" t="s">
        <v>38</v>
      </c>
      <c r="W158" s="9">
        <v>10</v>
      </c>
      <c r="X158" s="9" t="s">
        <v>39</v>
      </c>
      <c r="Y158" s="9" t="s">
        <v>40</v>
      </c>
      <c r="Z158" s="9" t="s">
        <v>41</v>
      </c>
      <c r="AA158" s="9" t="s">
        <v>42</v>
      </c>
      <c r="AB158" s="9"/>
      <c r="AC158" s="9"/>
    </row>
    <row r="159" spans="1:29" ht="22.5" customHeight="1">
      <c r="A159" s="9" t="s">
        <v>29</v>
      </c>
      <c r="B159" s="9" t="s">
        <v>431</v>
      </c>
      <c r="C159" s="9"/>
      <c r="D159" s="9" t="s">
        <v>31</v>
      </c>
      <c r="E159" s="9" t="s">
        <v>32</v>
      </c>
      <c r="F159" s="9" t="s">
        <v>33</v>
      </c>
      <c r="G159" s="9" t="s">
        <v>34</v>
      </c>
      <c r="H159" s="10"/>
      <c r="I159" s="9"/>
      <c r="J159" s="9" t="s">
        <v>49</v>
      </c>
      <c r="K159" s="9"/>
      <c r="L159" s="9" t="s">
        <v>50</v>
      </c>
      <c r="M159" s="10" t="s">
        <v>432</v>
      </c>
      <c r="N159" s="10" t="str">
        <f>IFERROR(VLOOKUP(M159,[1]DESC!A:B,2,FALSE),"")</f>
        <v/>
      </c>
      <c r="O159" s="9"/>
      <c r="P159" s="9"/>
      <c r="Q159" s="9"/>
      <c r="R159" s="9"/>
      <c r="S159" s="9"/>
      <c r="T159" s="11"/>
      <c r="U159" s="12" t="s">
        <v>206</v>
      </c>
      <c r="V159" s="12" t="s">
        <v>52</v>
      </c>
      <c r="W159" s="9">
        <v>10</v>
      </c>
      <c r="X159" s="9" t="s">
        <v>39</v>
      </c>
      <c r="Y159" s="9" t="s">
        <v>40</v>
      </c>
      <c r="Z159" s="9" t="s">
        <v>41</v>
      </c>
      <c r="AA159" s="9" t="s">
        <v>42</v>
      </c>
      <c r="AB159" s="9"/>
      <c r="AC159" s="9"/>
    </row>
    <row r="160" spans="1:29" ht="22.5" customHeight="1">
      <c r="A160" s="9" t="s">
        <v>141</v>
      </c>
      <c r="B160" s="9" t="s">
        <v>433</v>
      </c>
      <c r="C160" s="9" t="s">
        <v>113</v>
      </c>
      <c r="D160" s="9" t="s">
        <v>76</v>
      </c>
      <c r="E160" s="9" t="s">
        <v>32</v>
      </c>
      <c r="F160" s="9" t="s">
        <v>33</v>
      </c>
      <c r="G160" s="9">
        <v>2</v>
      </c>
      <c r="H160" s="10"/>
      <c r="I160" s="9" t="s">
        <v>434</v>
      </c>
      <c r="J160" s="9" t="s">
        <v>35</v>
      </c>
      <c r="K160" s="9"/>
      <c r="L160" s="9" t="s">
        <v>50</v>
      </c>
      <c r="M160" s="10" t="s">
        <v>435</v>
      </c>
      <c r="N160" s="10" t="str">
        <f>IFERROR(VLOOKUP(M160,[1]DESC!A:B,2,FALSE),"")</f>
        <v/>
      </c>
      <c r="O160" s="9" t="s">
        <v>116</v>
      </c>
      <c r="P160" s="9" t="s">
        <v>117</v>
      </c>
      <c r="Q160" s="9" t="s">
        <v>118</v>
      </c>
      <c r="R160" s="9" t="s">
        <v>214</v>
      </c>
      <c r="S160" s="9" t="s">
        <v>215</v>
      </c>
      <c r="T160" s="11" t="s">
        <v>216</v>
      </c>
      <c r="U160" s="12" t="s">
        <v>38</v>
      </c>
      <c r="V160" s="12" t="s">
        <v>218</v>
      </c>
      <c r="W160" s="9">
        <v>0</v>
      </c>
      <c r="X160" s="9" t="s">
        <v>214</v>
      </c>
      <c r="Y160" s="9" t="s">
        <v>215</v>
      </c>
      <c r="Z160" s="9" t="s">
        <v>216</v>
      </c>
      <c r="AA160" s="9" t="s">
        <v>219</v>
      </c>
      <c r="AB160" s="12" t="s">
        <v>182</v>
      </c>
      <c r="AC160" s="9">
        <v>97</v>
      </c>
    </row>
    <row r="161" spans="1:29" ht="22.5" customHeight="1">
      <c r="A161" s="9" t="s">
        <v>29</v>
      </c>
      <c r="B161" s="9" t="s">
        <v>436</v>
      </c>
      <c r="C161" s="9"/>
      <c r="D161" s="9" t="s">
        <v>31</v>
      </c>
      <c r="E161" s="9" t="s">
        <v>32</v>
      </c>
      <c r="F161" s="9" t="s">
        <v>33</v>
      </c>
      <c r="G161" s="9" t="s">
        <v>34</v>
      </c>
      <c r="H161" s="10"/>
      <c r="I161" s="9"/>
      <c r="J161" s="9" t="s">
        <v>35</v>
      </c>
      <c r="K161" s="9"/>
      <c r="L161" s="9" t="s">
        <v>50</v>
      </c>
      <c r="M161" s="10" t="s">
        <v>437</v>
      </c>
      <c r="N161" s="10" t="str">
        <f>IFERROR(VLOOKUP(M161,[1]DESC!A:B,2,FALSE),"")</f>
        <v/>
      </c>
      <c r="O161" s="9"/>
      <c r="P161" s="9"/>
      <c r="Q161" s="9"/>
      <c r="R161" s="9"/>
      <c r="S161" s="9"/>
      <c r="T161" s="11"/>
      <c r="U161" s="12" t="s">
        <v>38</v>
      </c>
      <c r="V161" s="12" t="s">
        <v>438</v>
      </c>
      <c r="W161" s="9">
        <v>10</v>
      </c>
      <c r="X161" s="9" t="s">
        <v>39</v>
      </c>
      <c r="Y161" s="9" t="s">
        <v>40</v>
      </c>
      <c r="Z161" s="9" t="s">
        <v>41</v>
      </c>
      <c r="AA161" s="9" t="s">
        <v>42</v>
      </c>
      <c r="AB161" s="9"/>
      <c r="AC161" s="9"/>
    </row>
    <row r="162" spans="1:29" ht="22.5" customHeight="1">
      <c r="A162" s="9" t="s">
        <v>29</v>
      </c>
      <c r="B162" s="9" t="s">
        <v>439</v>
      </c>
      <c r="C162" s="9"/>
      <c r="D162" s="9" t="s">
        <v>31</v>
      </c>
      <c r="E162" s="9" t="s">
        <v>167</v>
      </c>
      <c r="F162" s="9" t="s">
        <v>33</v>
      </c>
      <c r="G162" s="9" t="s">
        <v>34</v>
      </c>
      <c r="H162" s="10"/>
      <c r="I162" s="9"/>
      <c r="J162" s="9" t="s">
        <v>35</v>
      </c>
      <c r="K162" s="9"/>
      <c r="L162" s="9" t="s">
        <v>50</v>
      </c>
      <c r="M162" s="10" t="s">
        <v>440</v>
      </c>
      <c r="N162" s="10" t="str">
        <f>IFERROR(VLOOKUP(M162,[1]DESC!A:B,2,FALSE),"")</f>
        <v/>
      </c>
      <c r="O162" s="9"/>
      <c r="P162" s="9"/>
      <c r="Q162" s="9"/>
      <c r="R162" s="9"/>
      <c r="S162" s="9"/>
      <c r="T162" s="11"/>
      <c r="U162" s="12" t="s">
        <v>38</v>
      </c>
      <c r="V162" s="12" t="s">
        <v>53</v>
      </c>
      <c r="W162" s="9">
        <v>10</v>
      </c>
      <c r="X162" s="9" t="s">
        <v>39</v>
      </c>
      <c r="Y162" s="9" t="s">
        <v>40</v>
      </c>
      <c r="Z162" s="9" t="s">
        <v>41</v>
      </c>
      <c r="AA162" s="9" t="s">
        <v>42</v>
      </c>
      <c r="AB162" s="9"/>
      <c r="AC162" s="9"/>
    </row>
    <row r="163" spans="1:29" ht="22.5" customHeight="1">
      <c r="A163" s="9" t="s">
        <v>29</v>
      </c>
      <c r="B163" s="9" t="s">
        <v>441</v>
      </c>
      <c r="C163" s="9"/>
      <c r="D163" s="9" t="s">
        <v>31</v>
      </c>
      <c r="E163" s="9" t="s">
        <v>44</v>
      </c>
      <c r="F163" s="9" t="s">
        <v>33</v>
      </c>
      <c r="G163" s="9" t="s">
        <v>34</v>
      </c>
      <c r="H163" s="10"/>
      <c r="I163" s="9"/>
      <c r="J163" s="9" t="s">
        <v>35</v>
      </c>
      <c r="K163" s="9"/>
      <c r="L163" s="9" t="s">
        <v>50</v>
      </c>
      <c r="M163" s="10" t="s">
        <v>442</v>
      </c>
      <c r="N163" s="10" t="str">
        <f>IFERROR(VLOOKUP(M163,[1]DESC!A:B,2,FALSE),"")</f>
        <v/>
      </c>
      <c r="O163" s="9"/>
      <c r="P163" s="9"/>
      <c r="Q163" s="9"/>
      <c r="R163" s="9"/>
      <c r="S163" s="9"/>
      <c r="T163" s="11"/>
      <c r="U163" s="12" t="s">
        <v>38</v>
      </c>
      <c r="V163" s="12" t="s">
        <v>443</v>
      </c>
      <c r="W163" s="9">
        <v>10</v>
      </c>
      <c r="X163" s="9" t="s">
        <v>39</v>
      </c>
      <c r="Y163" s="9" t="s">
        <v>40</v>
      </c>
      <c r="Z163" s="9" t="s">
        <v>41</v>
      </c>
      <c r="AA163" s="9" t="s">
        <v>42</v>
      </c>
      <c r="AB163" s="9"/>
      <c r="AC163" s="9"/>
    </row>
    <row r="164" spans="1:29" ht="22.5" customHeight="1">
      <c r="A164" s="9" t="s">
        <v>29</v>
      </c>
      <c r="B164" s="9" t="s">
        <v>444</v>
      </c>
      <c r="C164" s="9"/>
      <c r="D164" s="9" t="s">
        <v>31</v>
      </c>
      <c r="E164" s="9" t="s">
        <v>44</v>
      </c>
      <c r="F164" s="9" t="s">
        <v>33</v>
      </c>
      <c r="G164" s="9" t="s">
        <v>34</v>
      </c>
      <c r="H164" s="10" t="s">
        <v>445</v>
      </c>
      <c r="I164" s="9"/>
      <c r="J164" s="9" t="s">
        <v>49</v>
      </c>
      <c r="K164" s="9"/>
      <c r="L164" s="9"/>
      <c r="M164" s="10" t="s">
        <v>446</v>
      </c>
      <c r="N164" s="10" t="str">
        <f>IFERROR(VLOOKUP(M164,[1]DESC!A:B,2,FALSE),"")</f>
        <v/>
      </c>
      <c r="O164" s="9"/>
      <c r="P164" s="9"/>
      <c r="Q164" s="9"/>
      <c r="R164" s="9"/>
      <c r="S164" s="9"/>
      <c r="T164" s="11"/>
      <c r="U164" s="12" t="s">
        <v>57</v>
      </c>
      <c r="V164" s="12" t="s">
        <v>47</v>
      </c>
      <c r="W164" s="9">
        <v>10</v>
      </c>
      <c r="X164" s="9" t="s">
        <v>39</v>
      </c>
      <c r="Y164" s="9" t="s">
        <v>40</v>
      </c>
      <c r="Z164" s="9" t="s">
        <v>41</v>
      </c>
      <c r="AA164" s="9" t="s">
        <v>42</v>
      </c>
      <c r="AB164" s="9"/>
      <c r="AC164" s="9"/>
    </row>
    <row r="165" spans="1:29" ht="22.5" customHeight="1">
      <c r="A165" s="9" t="s">
        <v>29</v>
      </c>
      <c r="B165" s="9" t="s">
        <v>444</v>
      </c>
      <c r="C165" s="9"/>
      <c r="D165" s="9" t="s">
        <v>31</v>
      </c>
      <c r="E165" s="9" t="s">
        <v>44</v>
      </c>
      <c r="F165" s="9" t="s">
        <v>33</v>
      </c>
      <c r="G165" s="9" t="s">
        <v>34</v>
      </c>
      <c r="H165" s="10" t="s">
        <v>447</v>
      </c>
      <c r="I165" s="9"/>
      <c r="J165" s="9" t="s">
        <v>49</v>
      </c>
      <c r="K165" s="9"/>
      <c r="L165" s="9"/>
      <c r="M165" s="10" t="s">
        <v>446</v>
      </c>
      <c r="N165" s="10" t="str">
        <f>IFERROR(VLOOKUP(M165,[1]DESC!A:B,2,FALSE),"")</f>
        <v/>
      </c>
      <c r="O165" s="9"/>
      <c r="P165" s="9"/>
      <c r="Q165" s="9"/>
      <c r="R165" s="9"/>
      <c r="S165" s="9"/>
      <c r="T165" s="11"/>
      <c r="U165" s="12" t="s">
        <v>57</v>
      </c>
      <c r="V165" s="12" t="s">
        <v>47</v>
      </c>
      <c r="W165" s="9">
        <v>10</v>
      </c>
      <c r="X165" s="9" t="s">
        <v>39</v>
      </c>
      <c r="Y165" s="9" t="s">
        <v>40</v>
      </c>
      <c r="Z165" s="9" t="s">
        <v>41</v>
      </c>
      <c r="AA165" s="9" t="s">
        <v>42</v>
      </c>
      <c r="AB165" s="9"/>
      <c r="AC165" s="9"/>
    </row>
    <row r="166" spans="1:29" ht="22.5" customHeight="1">
      <c r="A166" s="9" t="s">
        <v>29</v>
      </c>
      <c r="B166" s="9" t="s">
        <v>448</v>
      </c>
      <c r="C166" s="9"/>
      <c r="D166" s="9" t="s">
        <v>31</v>
      </c>
      <c r="E166" s="9" t="s">
        <v>44</v>
      </c>
      <c r="F166" s="9" t="s">
        <v>33</v>
      </c>
      <c r="G166" s="9" t="s">
        <v>34</v>
      </c>
      <c r="H166" s="10"/>
      <c r="I166" s="9"/>
      <c r="J166" s="9" t="s">
        <v>49</v>
      </c>
      <c r="K166" s="9"/>
      <c r="L166" s="9"/>
      <c r="M166" s="10" t="s">
        <v>449</v>
      </c>
      <c r="N166" s="10" t="str">
        <f>IFERROR(VLOOKUP(M166,[1]DESC!A:B,2,FALSE),"")</f>
        <v/>
      </c>
      <c r="O166" s="9"/>
      <c r="P166" s="9"/>
      <c r="Q166" s="9"/>
      <c r="R166" s="9"/>
      <c r="S166" s="9"/>
      <c r="T166" s="11"/>
      <c r="U166" s="12" t="s">
        <v>37</v>
      </c>
      <c r="V166" s="12" t="s">
        <v>52</v>
      </c>
      <c r="W166" s="9">
        <v>10</v>
      </c>
      <c r="X166" s="9" t="s">
        <v>39</v>
      </c>
      <c r="Y166" s="9" t="s">
        <v>40</v>
      </c>
      <c r="Z166" s="9" t="s">
        <v>41</v>
      </c>
      <c r="AA166" s="9" t="s">
        <v>42</v>
      </c>
      <c r="AB166" s="9"/>
      <c r="AC166" s="9"/>
    </row>
    <row r="167" spans="1:29" ht="22.5" customHeight="1">
      <c r="A167" s="9" t="s">
        <v>29</v>
      </c>
      <c r="B167" s="9" t="s">
        <v>450</v>
      </c>
      <c r="C167" s="9"/>
      <c r="D167" s="9" t="s">
        <v>31</v>
      </c>
      <c r="E167" s="9" t="s">
        <v>44</v>
      </c>
      <c r="F167" s="9" t="s">
        <v>33</v>
      </c>
      <c r="G167" s="9" t="s">
        <v>34</v>
      </c>
      <c r="H167" s="10" t="s">
        <v>210</v>
      </c>
      <c r="I167" s="9"/>
      <c r="J167" s="9" t="s">
        <v>49</v>
      </c>
      <c r="K167" s="9"/>
      <c r="L167" s="9"/>
      <c r="M167" s="10" t="s">
        <v>451</v>
      </c>
      <c r="N167" s="10" t="str">
        <f>IFERROR(VLOOKUP(M167,[1]DESC!A:B,2,FALSE),"")</f>
        <v/>
      </c>
      <c r="O167" s="9"/>
      <c r="P167" s="9"/>
      <c r="Q167" s="9"/>
      <c r="R167" s="9"/>
      <c r="S167" s="9"/>
      <c r="T167" s="11"/>
      <c r="U167" s="12" t="s">
        <v>57</v>
      </c>
      <c r="V167" s="12" t="s">
        <v>52</v>
      </c>
      <c r="W167" s="9">
        <v>10</v>
      </c>
      <c r="X167" s="9" t="s">
        <v>39</v>
      </c>
      <c r="Y167" s="9" t="s">
        <v>40</v>
      </c>
      <c r="Z167" s="9" t="s">
        <v>41</v>
      </c>
      <c r="AA167" s="9" t="s">
        <v>42</v>
      </c>
      <c r="AB167" s="9"/>
      <c r="AC167" s="9"/>
    </row>
    <row r="168" spans="1:29" ht="22.5" customHeight="1">
      <c r="A168" s="9" t="s">
        <v>29</v>
      </c>
      <c r="B168" s="9" t="s">
        <v>450</v>
      </c>
      <c r="C168" s="9"/>
      <c r="D168" s="9" t="s">
        <v>31</v>
      </c>
      <c r="E168" s="9" t="s">
        <v>44</v>
      </c>
      <c r="F168" s="9" t="s">
        <v>33</v>
      </c>
      <c r="G168" s="9" t="s">
        <v>34</v>
      </c>
      <c r="H168" s="10" t="s">
        <v>452</v>
      </c>
      <c r="I168" s="9"/>
      <c r="J168" s="9" t="s">
        <v>49</v>
      </c>
      <c r="K168" s="9"/>
      <c r="L168" s="9"/>
      <c r="M168" s="10" t="s">
        <v>451</v>
      </c>
      <c r="N168" s="10" t="str">
        <f>IFERROR(VLOOKUP(M168,[1]DESC!A:B,2,FALSE),"")</f>
        <v/>
      </c>
      <c r="O168" s="9"/>
      <c r="P168" s="9"/>
      <c r="Q168" s="9"/>
      <c r="R168" s="9"/>
      <c r="S168" s="9"/>
      <c r="T168" s="11"/>
      <c r="U168" s="12" t="s">
        <v>57</v>
      </c>
      <c r="V168" s="12" t="s">
        <v>52</v>
      </c>
      <c r="W168" s="9">
        <v>10</v>
      </c>
      <c r="X168" s="9" t="s">
        <v>39</v>
      </c>
      <c r="Y168" s="9" t="s">
        <v>40</v>
      </c>
      <c r="Z168" s="9" t="s">
        <v>41</v>
      </c>
      <c r="AA168" s="9" t="s">
        <v>42</v>
      </c>
      <c r="AB168" s="9"/>
      <c r="AC168" s="9"/>
    </row>
    <row r="169" spans="1:29" ht="22.5" customHeight="1">
      <c r="A169" s="9" t="s">
        <v>29</v>
      </c>
      <c r="B169" s="9" t="s">
        <v>450</v>
      </c>
      <c r="C169" s="9"/>
      <c r="D169" s="9" t="s">
        <v>31</v>
      </c>
      <c r="E169" s="9" t="s">
        <v>44</v>
      </c>
      <c r="F169" s="9" t="s">
        <v>33</v>
      </c>
      <c r="G169" s="9" t="s">
        <v>34</v>
      </c>
      <c r="H169" s="10" t="s">
        <v>453</v>
      </c>
      <c r="I169" s="9"/>
      <c r="J169" s="9" t="s">
        <v>49</v>
      </c>
      <c r="K169" s="9"/>
      <c r="L169" s="9"/>
      <c r="M169" s="10" t="s">
        <v>451</v>
      </c>
      <c r="N169" s="10" t="str">
        <f>IFERROR(VLOOKUP(M169,[1]DESC!A:B,2,FALSE),"")</f>
        <v/>
      </c>
      <c r="O169" s="9"/>
      <c r="P169" s="9"/>
      <c r="Q169" s="9"/>
      <c r="R169" s="9"/>
      <c r="S169" s="9"/>
      <c r="T169" s="11"/>
      <c r="U169" s="12" t="s">
        <v>57</v>
      </c>
      <c r="V169" s="12" t="s">
        <v>52</v>
      </c>
      <c r="W169" s="9">
        <v>10</v>
      </c>
      <c r="X169" s="9" t="s">
        <v>39</v>
      </c>
      <c r="Y169" s="9" t="s">
        <v>40</v>
      </c>
      <c r="Z169" s="9" t="s">
        <v>41</v>
      </c>
      <c r="AA169" s="9" t="s">
        <v>42</v>
      </c>
      <c r="AB169" s="9"/>
      <c r="AC169" s="9"/>
    </row>
    <row r="170" spans="1:29" ht="22.5" customHeight="1">
      <c r="A170" s="9" t="s">
        <v>29</v>
      </c>
      <c r="B170" s="9" t="s">
        <v>454</v>
      </c>
      <c r="C170" s="9"/>
      <c r="D170" s="9" t="s">
        <v>31</v>
      </c>
      <c r="E170" s="9" t="s">
        <v>44</v>
      </c>
      <c r="F170" s="9" t="s">
        <v>33</v>
      </c>
      <c r="G170" s="9" t="s">
        <v>34</v>
      </c>
      <c r="H170" s="10" t="s">
        <v>210</v>
      </c>
      <c r="I170" s="9"/>
      <c r="J170" s="9" t="s">
        <v>35</v>
      </c>
      <c r="K170" s="9"/>
      <c r="L170" s="9"/>
      <c r="M170" s="10" t="s">
        <v>455</v>
      </c>
      <c r="N170" s="10" t="str">
        <f>IFERROR(VLOOKUP(M170,[1]DESC!A:B,2,FALSE),"")</f>
        <v/>
      </c>
      <c r="O170" s="9"/>
      <c r="P170" s="9"/>
      <c r="Q170" s="9"/>
      <c r="R170" s="9"/>
      <c r="S170" s="9"/>
      <c r="T170" s="11"/>
      <c r="U170" s="12" t="s">
        <v>57</v>
      </c>
      <c r="V170" s="12" t="s">
        <v>38</v>
      </c>
      <c r="W170" s="9">
        <v>10</v>
      </c>
      <c r="X170" s="9" t="s">
        <v>39</v>
      </c>
      <c r="Y170" s="9" t="s">
        <v>40</v>
      </c>
      <c r="Z170" s="9" t="s">
        <v>41</v>
      </c>
      <c r="AA170" s="9" t="s">
        <v>42</v>
      </c>
      <c r="AB170" s="9"/>
      <c r="AC170" s="9"/>
    </row>
    <row r="171" spans="1:29" ht="22.5" customHeight="1">
      <c r="A171" s="9" t="s">
        <v>29</v>
      </c>
      <c r="B171" s="9" t="s">
        <v>454</v>
      </c>
      <c r="C171" s="9"/>
      <c r="D171" s="9" t="s">
        <v>31</v>
      </c>
      <c r="E171" s="9" t="s">
        <v>44</v>
      </c>
      <c r="F171" s="9" t="s">
        <v>33</v>
      </c>
      <c r="G171" s="9" t="s">
        <v>34</v>
      </c>
      <c r="H171" s="10" t="s">
        <v>207</v>
      </c>
      <c r="I171" s="9"/>
      <c r="J171" s="9" t="s">
        <v>35</v>
      </c>
      <c r="K171" s="9"/>
      <c r="L171" s="9"/>
      <c r="M171" s="10" t="s">
        <v>455</v>
      </c>
      <c r="N171" s="10" t="str">
        <f>IFERROR(VLOOKUP(M171,[1]DESC!A:B,2,FALSE),"")</f>
        <v/>
      </c>
      <c r="O171" s="9"/>
      <c r="P171" s="9"/>
      <c r="Q171" s="9"/>
      <c r="R171" s="9"/>
      <c r="S171" s="9"/>
      <c r="T171" s="11"/>
      <c r="U171" s="12" t="s">
        <v>57</v>
      </c>
      <c r="V171" s="12" t="s">
        <v>38</v>
      </c>
      <c r="W171" s="9">
        <v>10</v>
      </c>
      <c r="X171" s="9" t="s">
        <v>39</v>
      </c>
      <c r="Y171" s="9" t="s">
        <v>40</v>
      </c>
      <c r="Z171" s="9" t="s">
        <v>41</v>
      </c>
      <c r="AA171" s="9" t="s">
        <v>42</v>
      </c>
      <c r="AB171" s="9"/>
      <c r="AC171" s="9"/>
    </row>
    <row r="172" spans="1:29" ht="22.5" customHeight="1">
      <c r="A172" s="9" t="s">
        <v>29</v>
      </c>
      <c r="B172" s="9" t="s">
        <v>456</v>
      </c>
      <c r="C172" s="9"/>
      <c r="D172" s="9" t="s">
        <v>31</v>
      </c>
      <c r="E172" s="9" t="s">
        <v>44</v>
      </c>
      <c r="F172" s="9" t="s">
        <v>33</v>
      </c>
      <c r="G172" s="9" t="s">
        <v>34</v>
      </c>
      <c r="H172" s="10"/>
      <c r="I172" s="9"/>
      <c r="J172" s="9" t="s">
        <v>35</v>
      </c>
      <c r="K172" s="9"/>
      <c r="L172" s="9"/>
      <c r="M172" s="10" t="s">
        <v>457</v>
      </c>
      <c r="N172" s="10" t="str">
        <f>IFERROR(VLOOKUP(M172,[1]DESC!A:B,2,FALSE),"")</f>
        <v/>
      </c>
      <c r="O172" s="9"/>
      <c r="P172" s="9"/>
      <c r="Q172" s="9"/>
      <c r="R172" s="9"/>
      <c r="S172" s="9"/>
      <c r="T172" s="11"/>
      <c r="U172" s="12" t="s">
        <v>458</v>
      </c>
      <c r="V172" s="12" t="s">
        <v>38</v>
      </c>
      <c r="W172" s="9">
        <v>10</v>
      </c>
      <c r="X172" s="9" t="s">
        <v>39</v>
      </c>
      <c r="Y172" s="9" t="s">
        <v>40</v>
      </c>
      <c r="Z172" s="9" t="s">
        <v>41</v>
      </c>
      <c r="AA172" s="9" t="s">
        <v>42</v>
      </c>
      <c r="AB172" s="9"/>
      <c r="AC172" s="9"/>
    </row>
    <row r="173" spans="1:29" ht="22.5" customHeight="1">
      <c r="A173" s="9" t="s">
        <v>29</v>
      </c>
      <c r="B173" s="9" t="s">
        <v>459</v>
      </c>
      <c r="C173" s="9"/>
      <c r="D173" s="9" t="s">
        <v>31</v>
      </c>
      <c r="E173" s="9" t="s">
        <v>460</v>
      </c>
      <c r="F173" s="9" t="s">
        <v>33</v>
      </c>
      <c r="G173" s="9" t="s">
        <v>34</v>
      </c>
      <c r="H173" s="10"/>
      <c r="I173" s="9"/>
      <c r="J173" s="9" t="s">
        <v>35</v>
      </c>
      <c r="K173" s="9"/>
      <c r="L173" s="9"/>
      <c r="M173" s="10" t="s">
        <v>461</v>
      </c>
      <c r="N173" s="10" t="str">
        <f>IFERROR(VLOOKUP(M173,[1]DESC!A:B,2,FALSE),"")</f>
        <v/>
      </c>
      <c r="O173" s="9"/>
      <c r="P173" s="9"/>
      <c r="Q173" s="9"/>
      <c r="R173" s="9"/>
      <c r="S173" s="9"/>
      <c r="T173" s="11"/>
      <c r="U173" s="12" t="s">
        <v>46</v>
      </c>
      <c r="V173" s="12" t="s">
        <v>52</v>
      </c>
      <c r="W173" s="9">
        <v>10</v>
      </c>
      <c r="X173" s="9" t="s">
        <v>39</v>
      </c>
      <c r="Y173" s="9" t="s">
        <v>40</v>
      </c>
      <c r="Z173" s="9" t="s">
        <v>41</v>
      </c>
      <c r="AA173" s="9" t="s">
        <v>42</v>
      </c>
      <c r="AB173" s="9"/>
      <c r="AC173" s="9"/>
    </row>
    <row r="174" spans="1:29" ht="22.5" customHeight="1">
      <c r="A174" s="9" t="s">
        <v>29</v>
      </c>
      <c r="B174" s="9" t="s">
        <v>462</v>
      </c>
      <c r="C174" s="9"/>
      <c r="D174" s="9" t="s">
        <v>31</v>
      </c>
      <c r="E174" s="9" t="s">
        <v>167</v>
      </c>
      <c r="F174" s="9" t="s">
        <v>33</v>
      </c>
      <c r="G174" s="9" t="s">
        <v>34</v>
      </c>
      <c r="H174" s="10"/>
      <c r="I174" s="9"/>
      <c r="J174" s="9" t="s">
        <v>49</v>
      </c>
      <c r="K174" s="9"/>
      <c r="L174" s="9"/>
      <c r="M174" s="10" t="s">
        <v>463</v>
      </c>
      <c r="N174" s="10" t="str">
        <f>IFERROR(VLOOKUP(M174,[1]DESC!A:B,2,FALSE),"")</f>
        <v/>
      </c>
      <c r="O174" s="9"/>
      <c r="P174" s="9"/>
      <c r="Q174" s="9"/>
      <c r="R174" s="9"/>
      <c r="S174" s="9"/>
      <c r="T174" s="11"/>
      <c r="U174" s="12" t="s">
        <v>37</v>
      </c>
      <c r="V174" s="12" t="s">
        <v>47</v>
      </c>
      <c r="W174" s="9">
        <v>10</v>
      </c>
      <c r="X174" s="9" t="s">
        <v>39</v>
      </c>
      <c r="Y174" s="9" t="s">
        <v>40</v>
      </c>
      <c r="Z174" s="9" t="s">
        <v>41</v>
      </c>
      <c r="AA174" s="9" t="s">
        <v>42</v>
      </c>
      <c r="AB174" s="9"/>
      <c r="AC174" s="9"/>
    </row>
    <row r="175" spans="1:29" ht="22.5" customHeight="1">
      <c r="A175" s="9" t="s">
        <v>29</v>
      </c>
      <c r="B175" s="9" t="s">
        <v>464</v>
      </c>
      <c r="C175" s="9"/>
      <c r="D175" s="9" t="s">
        <v>31</v>
      </c>
      <c r="E175" s="9" t="s">
        <v>32</v>
      </c>
      <c r="F175" s="9" t="s">
        <v>33</v>
      </c>
      <c r="G175" s="9" t="s">
        <v>34</v>
      </c>
      <c r="H175" s="10" t="s">
        <v>222</v>
      </c>
      <c r="I175" s="9"/>
      <c r="J175" s="9" t="s">
        <v>49</v>
      </c>
      <c r="K175" s="9"/>
      <c r="L175" s="9"/>
      <c r="M175" s="10" t="s">
        <v>465</v>
      </c>
      <c r="N175" s="10" t="str">
        <f>IFERROR(VLOOKUP(M175,[1]DESC!A:B,2,FALSE),"")</f>
        <v/>
      </c>
      <c r="O175" s="9"/>
      <c r="P175" s="9"/>
      <c r="Q175" s="9"/>
      <c r="R175" s="9"/>
      <c r="S175" s="9"/>
      <c r="T175" s="11"/>
      <c r="U175" s="12" t="s">
        <v>57</v>
      </c>
      <c r="V175" s="12" t="s">
        <v>53</v>
      </c>
      <c r="W175" s="9">
        <v>10</v>
      </c>
      <c r="X175" s="9" t="s">
        <v>39</v>
      </c>
      <c r="Y175" s="9" t="s">
        <v>40</v>
      </c>
      <c r="Z175" s="9" t="s">
        <v>41</v>
      </c>
      <c r="AA175" s="9" t="s">
        <v>42</v>
      </c>
      <c r="AB175" s="9"/>
      <c r="AC175" s="9"/>
    </row>
    <row r="176" spans="1:29" ht="22.5" customHeight="1">
      <c r="A176" s="9" t="s">
        <v>29</v>
      </c>
      <c r="B176" s="9" t="s">
        <v>464</v>
      </c>
      <c r="C176" s="9"/>
      <c r="D176" s="9" t="s">
        <v>31</v>
      </c>
      <c r="E176" s="9" t="s">
        <v>32</v>
      </c>
      <c r="F176" s="9" t="s">
        <v>33</v>
      </c>
      <c r="G176" s="9" t="s">
        <v>34</v>
      </c>
      <c r="H176" s="10" t="s">
        <v>222</v>
      </c>
      <c r="I176" s="9"/>
      <c r="J176" s="9" t="s">
        <v>49</v>
      </c>
      <c r="K176" s="9"/>
      <c r="L176" s="9"/>
      <c r="M176" s="10" t="s">
        <v>465</v>
      </c>
      <c r="N176" s="10" t="str">
        <f>IFERROR(VLOOKUP(M176,[1]DESC!A:B,2,FALSE),"")</f>
        <v/>
      </c>
      <c r="O176" s="9"/>
      <c r="P176" s="9"/>
      <c r="Q176" s="9"/>
      <c r="R176" s="9"/>
      <c r="S176" s="9"/>
      <c r="T176" s="11"/>
      <c r="U176" s="12" t="s">
        <v>57</v>
      </c>
      <c r="V176" s="12" t="s">
        <v>53</v>
      </c>
      <c r="W176" s="9">
        <v>10</v>
      </c>
      <c r="X176" s="9" t="s">
        <v>39</v>
      </c>
      <c r="Y176" s="9" t="s">
        <v>40</v>
      </c>
      <c r="Z176" s="9" t="s">
        <v>41</v>
      </c>
      <c r="AA176" s="9" t="s">
        <v>42</v>
      </c>
      <c r="AB176" s="9"/>
      <c r="AC176" s="9"/>
    </row>
    <row r="177" spans="1:29" ht="22.5" customHeight="1">
      <c r="A177" s="9" t="s">
        <v>29</v>
      </c>
      <c r="B177" s="9" t="s">
        <v>466</v>
      </c>
      <c r="C177" s="9"/>
      <c r="D177" s="9" t="s">
        <v>31</v>
      </c>
      <c r="E177" s="9" t="s">
        <v>167</v>
      </c>
      <c r="F177" s="9" t="s">
        <v>33</v>
      </c>
      <c r="G177" s="9" t="s">
        <v>34</v>
      </c>
      <c r="H177" s="10"/>
      <c r="I177" s="9"/>
      <c r="J177" s="9" t="s">
        <v>49</v>
      </c>
      <c r="K177" s="9"/>
      <c r="L177" s="9"/>
      <c r="M177" s="10" t="s">
        <v>467</v>
      </c>
      <c r="N177" s="10" t="str">
        <f>IFERROR(VLOOKUP(M177,[1]DESC!A:B,2,FALSE),"")</f>
        <v/>
      </c>
      <c r="O177" s="9"/>
      <c r="P177" s="9"/>
      <c r="Q177" s="9"/>
      <c r="R177" s="9"/>
      <c r="S177" s="9"/>
      <c r="T177" s="11"/>
      <c r="U177" s="12" t="s">
        <v>37</v>
      </c>
      <c r="V177" s="12" t="s">
        <v>53</v>
      </c>
      <c r="W177" s="9">
        <v>10</v>
      </c>
      <c r="X177" s="9" t="s">
        <v>39</v>
      </c>
      <c r="Y177" s="9" t="s">
        <v>40</v>
      </c>
      <c r="Z177" s="9" t="s">
        <v>41</v>
      </c>
      <c r="AA177" s="9" t="s">
        <v>42</v>
      </c>
      <c r="AB177" s="9"/>
      <c r="AC177" s="9"/>
    </row>
    <row r="178" spans="1:29" ht="22.5" customHeight="1">
      <c r="A178" s="9" t="s">
        <v>29</v>
      </c>
      <c r="B178" s="9" t="s">
        <v>468</v>
      </c>
      <c r="C178" s="9"/>
      <c r="D178" s="9" t="s">
        <v>31</v>
      </c>
      <c r="E178" s="9" t="s">
        <v>167</v>
      </c>
      <c r="F178" s="9" t="s">
        <v>33</v>
      </c>
      <c r="G178" s="9" t="s">
        <v>34</v>
      </c>
      <c r="H178" s="10"/>
      <c r="I178" s="9"/>
      <c r="J178" s="9" t="s">
        <v>49</v>
      </c>
      <c r="K178" s="9"/>
      <c r="L178" s="9"/>
      <c r="M178" s="10" t="s">
        <v>469</v>
      </c>
      <c r="N178" s="10" t="str">
        <f>IFERROR(VLOOKUP(M178,[1]DESC!A:B,2,FALSE),"")</f>
        <v/>
      </c>
      <c r="O178" s="9"/>
      <c r="P178" s="9"/>
      <c r="Q178" s="9"/>
      <c r="R178" s="9"/>
      <c r="S178" s="9"/>
      <c r="T178" s="11"/>
      <c r="U178" s="12" t="s">
        <v>37</v>
      </c>
      <c r="V178" s="12" t="s">
        <v>47</v>
      </c>
      <c r="W178" s="9">
        <v>10</v>
      </c>
      <c r="X178" s="9" t="s">
        <v>39</v>
      </c>
      <c r="Y178" s="9" t="s">
        <v>40</v>
      </c>
      <c r="Z178" s="9" t="s">
        <v>41</v>
      </c>
      <c r="AA178" s="9" t="s">
        <v>42</v>
      </c>
      <c r="AB178" s="9"/>
      <c r="AC178" s="9"/>
    </row>
    <row r="179" spans="1:29" ht="22.5" customHeight="1">
      <c r="A179" s="9" t="s">
        <v>29</v>
      </c>
      <c r="B179" s="9" t="s">
        <v>470</v>
      </c>
      <c r="C179" s="9"/>
      <c r="D179" s="9" t="s">
        <v>31</v>
      </c>
      <c r="E179" s="9" t="s">
        <v>32</v>
      </c>
      <c r="F179" s="9" t="s">
        <v>33</v>
      </c>
      <c r="G179" s="9" t="s">
        <v>34</v>
      </c>
      <c r="H179" s="10"/>
      <c r="I179" s="9"/>
      <c r="J179" s="9" t="s">
        <v>35</v>
      </c>
      <c r="K179" s="9"/>
      <c r="L179" s="9"/>
      <c r="M179" s="10" t="s">
        <v>471</v>
      </c>
      <c r="N179" s="10" t="str">
        <f>IFERROR(VLOOKUP(M179,[1]DESC!A:B,2,FALSE),"")</f>
        <v/>
      </c>
      <c r="O179" s="9"/>
      <c r="P179" s="9"/>
      <c r="Q179" s="9"/>
      <c r="R179" s="9"/>
      <c r="S179" s="9"/>
      <c r="T179" s="11"/>
      <c r="U179" s="12" t="s">
        <v>46</v>
      </c>
      <c r="V179" s="12" t="s">
        <v>47</v>
      </c>
      <c r="W179" s="9">
        <v>10</v>
      </c>
      <c r="X179" s="9" t="s">
        <v>39</v>
      </c>
      <c r="Y179" s="9" t="s">
        <v>40</v>
      </c>
      <c r="Z179" s="9" t="s">
        <v>41</v>
      </c>
      <c r="AA179" s="9" t="s">
        <v>42</v>
      </c>
      <c r="AB179" s="9"/>
      <c r="AC179" s="9"/>
    </row>
    <row r="180" spans="1:29" ht="22.5" customHeight="1">
      <c r="A180" s="9" t="s">
        <v>29</v>
      </c>
      <c r="B180" s="9" t="s">
        <v>472</v>
      </c>
      <c r="C180" s="9"/>
      <c r="D180" s="9" t="s">
        <v>31</v>
      </c>
      <c r="E180" s="9" t="s">
        <v>44</v>
      </c>
      <c r="F180" s="9" t="s">
        <v>33</v>
      </c>
      <c r="G180" s="9" t="s">
        <v>34</v>
      </c>
      <c r="H180" s="10"/>
      <c r="I180" s="9"/>
      <c r="J180" s="9" t="s">
        <v>49</v>
      </c>
      <c r="K180" s="9"/>
      <c r="L180" s="9"/>
      <c r="M180" s="10" t="s">
        <v>473</v>
      </c>
      <c r="N180" s="10" t="str">
        <f>IFERROR(VLOOKUP(M180,[1]DESC!A:B,2,FALSE),"")</f>
        <v/>
      </c>
      <c r="O180" s="9"/>
      <c r="P180" s="9"/>
      <c r="Q180" s="9"/>
      <c r="R180" s="9"/>
      <c r="S180" s="9"/>
      <c r="T180" s="11"/>
      <c r="U180" s="12" t="s">
        <v>37</v>
      </c>
      <c r="V180" s="12" t="s">
        <v>47</v>
      </c>
      <c r="W180" s="9">
        <v>10</v>
      </c>
      <c r="X180" s="9" t="s">
        <v>39</v>
      </c>
      <c r="Y180" s="9" t="s">
        <v>40</v>
      </c>
      <c r="Z180" s="9" t="s">
        <v>41</v>
      </c>
      <c r="AA180" s="9" t="s">
        <v>42</v>
      </c>
      <c r="AB180" s="9"/>
      <c r="AC180" s="9"/>
    </row>
    <row r="181" spans="1:29" ht="22.5" customHeight="1">
      <c r="A181" s="9" t="s">
        <v>29</v>
      </c>
      <c r="B181" s="9" t="s">
        <v>474</v>
      </c>
      <c r="C181" s="9"/>
      <c r="D181" s="9" t="s">
        <v>31</v>
      </c>
      <c r="E181" s="9" t="s">
        <v>44</v>
      </c>
      <c r="F181" s="9" t="s">
        <v>33</v>
      </c>
      <c r="G181" s="9" t="s">
        <v>34</v>
      </c>
      <c r="H181" s="10"/>
      <c r="I181" s="9"/>
      <c r="J181" s="9" t="s">
        <v>49</v>
      </c>
      <c r="K181" s="9"/>
      <c r="L181" s="9"/>
      <c r="M181" s="10" t="s">
        <v>475</v>
      </c>
      <c r="N181" s="10" t="str">
        <f>IFERROR(VLOOKUP(M181,[1]DESC!A:B,2,FALSE),"")</f>
        <v/>
      </c>
      <c r="O181" s="9"/>
      <c r="P181" s="9"/>
      <c r="Q181" s="9"/>
      <c r="R181" s="9"/>
      <c r="S181" s="9"/>
      <c r="T181" s="11"/>
      <c r="U181" s="12" t="s">
        <v>37</v>
      </c>
      <c r="V181" s="12" t="s">
        <v>47</v>
      </c>
      <c r="W181" s="9">
        <v>10</v>
      </c>
      <c r="X181" s="9" t="s">
        <v>39</v>
      </c>
      <c r="Y181" s="9" t="s">
        <v>40</v>
      </c>
      <c r="Z181" s="9" t="s">
        <v>41</v>
      </c>
      <c r="AA181" s="9" t="s">
        <v>42</v>
      </c>
      <c r="AB181" s="9"/>
      <c r="AC181" s="9"/>
    </row>
    <row r="182" spans="1:29" ht="22.5" customHeight="1">
      <c r="A182" s="9" t="s">
        <v>29</v>
      </c>
      <c r="B182" s="9" t="s">
        <v>212</v>
      </c>
      <c r="C182" s="9"/>
      <c r="D182" s="9" t="s">
        <v>31</v>
      </c>
      <c r="E182" s="9" t="s">
        <v>32</v>
      </c>
      <c r="F182" s="9" t="s">
        <v>33</v>
      </c>
      <c r="G182" s="9" t="s">
        <v>34</v>
      </c>
      <c r="H182" s="10"/>
      <c r="I182" s="9" t="s">
        <v>168</v>
      </c>
      <c r="J182" s="9" t="s">
        <v>144</v>
      </c>
      <c r="K182" s="9"/>
      <c r="L182" s="9"/>
      <c r="M182" s="10" t="s">
        <v>476</v>
      </c>
      <c r="N182" s="10" t="str">
        <f>IFERROR(VLOOKUP(M182,[1]DESC!A:B,2,FALSE),"")</f>
        <v/>
      </c>
      <c r="O182" s="9"/>
      <c r="P182" s="9"/>
      <c r="Q182" s="9"/>
      <c r="R182" s="9"/>
      <c r="S182" s="9"/>
      <c r="T182" s="11"/>
      <c r="U182" s="12" t="s">
        <v>149</v>
      </c>
      <c r="V182" s="12" t="s">
        <v>170</v>
      </c>
      <c r="W182" s="9">
        <v>10</v>
      </c>
      <c r="X182" s="9" t="s">
        <v>39</v>
      </c>
      <c r="Y182" s="9" t="s">
        <v>40</v>
      </c>
      <c r="Z182" s="9" t="s">
        <v>41</v>
      </c>
      <c r="AA182" s="9" t="s">
        <v>42</v>
      </c>
      <c r="AB182" s="9"/>
      <c r="AC182" s="9"/>
    </row>
    <row r="183" spans="1:29" ht="22.5" customHeight="1">
      <c r="A183" s="9" t="s">
        <v>29</v>
      </c>
      <c r="B183" s="9" t="s">
        <v>212</v>
      </c>
      <c r="C183" s="9"/>
      <c r="D183" s="9" t="s">
        <v>31</v>
      </c>
      <c r="E183" s="9" t="s">
        <v>32</v>
      </c>
      <c r="F183" s="9" t="s">
        <v>33</v>
      </c>
      <c r="G183" s="9" t="s">
        <v>34</v>
      </c>
      <c r="H183" s="10"/>
      <c r="I183" s="9" t="s">
        <v>171</v>
      </c>
      <c r="J183" s="9" t="s">
        <v>144</v>
      </c>
      <c r="K183" s="9"/>
      <c r="L183" s="9"/>
      <c r="M183" s="10" t="s">
        <v>476</v>
      </c>
      <c r="N183" s="10" t="str">
        <f>IFERROR(VLOOKUP(M183,[1]DESC!A:B,2,FALSE),"")</f>
        <v/>
      </c>
      <c r="O183" s="9"/>
      <c r="P183" s="9"/>
      <c r="Q183" s="9"/>
      <c r="R183" s="9"/>
      <c r="S183" s="9"/>
      <c r="T183" s="11"/>
      <c r="U183" s="12" t="s">
        <v>149</v>
      </c>
      <c r="V183" s="12" t="s">
        <v>170</v>
      </c>
      <c r="W183" s="9">
        <v>10</v>
      </c>
      <c r="X183" s="9" t="s">
        <v>39</v>
      </c>
      <c r="Y183" s="9" t="s">
        <v>40</v>
      </c>
      <c r="Z183" s="9" t="s">
        <v>41</v>
      </c>
      <c r="AA183" s="9" t="s">
        <v>42</v>
      </c>
      <c r="AB183" s="9"/>
      <c r="AC183" s="9"/>
    </row>
    <row r="184" spans="1:29" ht="22.5" customHeight="1">
      <c r="A184" s="9" t="s">
        <v>29</v>
      </c>
      <c r="B184" s="9" t="s">
        <v>477</v>
      </c>
      <c r="C184" s="9"/>
      <c r="D184" s="9" t="s">
        <v>31</v>
      </c>
      <c r="E184" s="9" t="s">
        <v>32</v>
      </c>
      <c r="F184" s="9" t="s">
        <v>33</v>
      </c>
      <c r="G184" s="9" t="s">
        <v>34</v>
      </c>
      <c r="H184" s="10" t="s">
        <v>222</v>
      </c>
      <c r="I184" s="9"/>
      <c r="J184" s="9" t="s">
        <v>35</v>
      </c>
      <c r="K184" s="9"/>
      <c r="L184" s="9"/>
      <c r="M184" s="10" t="s">
        <v>478</v>
      </c>
      <c r="N184" s="10" t="str">
        <f>IFERROR(VLOOKUP(M184,[1]DESC!A:B,2,FALSE),"")</f>
        <v/>
      </c>
      <c r="O184" s="9"/>
      <c r="P184" s="9"/>
      <c r="Q184" s="9"/>
      <c r="R184" s="9"/>
      <c r="S184" s="9"/>
      <c r="T184" s="11"/>
      <c r="U184" s="12" t="s">
        <v>57</v>
      </c>
      <c r="V184" s="12" t="s">
        <v>53</v>
      </c>
      <c r="W184" s="9">
        <v>10</v>
      </c>
      <c r="X184" s="9" t="s">
        <v>39</v>
      </c>
      <c r="Y184" s="9" t="s">
        <v>40</v>
      </c>
      <c r="Z184" s="9" t="s">
        <v>41</v>
      </c>
      <c r="AA184" s="9" t="s">
        <v>42</v>
      </c>
      <c r="AB184" s="9"/>
      <c r="AC184" s="9"/>
    </row>
    <row r="185" spans="1:29" ht="22.5" customHeight="1">
      <c r="A185" s="9" t="s">
        <v>29</v>
      </c>
      <c r="B185" s="9" t="s">
        <v>479</v>
      </c>
      <c r="C185" s="9" t="s">
        <v>113</v>
      </c>
      <c r="D185" s="9" t="s">
        <v>76</v>
      </c>
      <c r="E185" s="9"/>
      <c r="F185" s="9" t="s">
        <v>33</v>
      </c>
      <c r="G185" s="9">
        <v>2</v>
      </c>
      <c r="H185" s="10"/>
      <c r="I185" s="9" t="s">
        <v>480</v>
      </c>
      <c r="J185" s="9" t="s">
        <v>481</v>
      </c>
      <c r="K185" s="9"/>
      <c r="L185" s="9"/>
      <c r="M185" s="10" t="s">
        <v>482</v>
      </c>
      <c r="N185" s="10" t="str">
        <f>IFERROR(VLOOKUP(M185,[1]DESC!A:B,2,FALSE),"")</f>
        <v/>
      </c>
      <c r="O185" s="9" t="s">
        <v>116</v>
      </c>
      <c r="P185" s="9" t="s">
        <v>117</v>
      </c>
      <c r="Q185" s="9" t="s">
        <v>118</v>
      </c>
      <c r="R185" s="9" t="s">
        <v>146</v>
      </c>
      <c r="S185" s="9" t="s">
        <v>147</v>
      </c>
      <c r="T185" s="11" t="s">
        <v>148</v>
      </c>
      <c r="U185" s="12" t="s">
        <v>149</v>
      </c>
      <c r="V185" s="12" t="s">
        <v>150</v>
      </c>
      <c r="W185" s="9">
        <v>0</v>
      </c>
      <c r="X185" s="9" t="s">
        <v>146</v>
      </c>
      <c r="Y185" s="9" t="s">
        <v>147</v>
      </c>
      <c r="Z185" s="9" t="s">
        <v>148</v>
      </c>
      <c r="AA185" s="9" t="s">
        <v>151</v>
      </c>
      <c r="AB185" s="12" t="s">
        <v>161</v>
      </c>
      <c r="AC185" s="9">
        <v>65</v>
      </c>
    </row>
    <row r="186" spans="1:29" ht="22.5" customHeight="1">
      <c r="A186" s="9" t="s">
        <v>29</v>
      </c>
      <c r="B186" s="9" t="s">
        <v>479</v>
      </c>
      <c r="C186" s="9" t="s">
        <v>113</v>
      </c>
      <c r="D186" s="9" t="s">
        <v>76</v>
      </c>
      <c r="E186" s="9"/>
      <c r="F186" s="9" t="s">
        <v>33</v>
      </c>
      <c r="G186" s="9">
        <v>2</v>
      </c>
      <c r="H186" s="10"/>
      <c r="I186" s="9" t="s">
        <v>483</v>
      </c>
      <c r="J186" s="9" t="s">
        <v>481</v>
      </c>
      <c r="K186" s="9"/>
      <c r="L186" s="9"/>
      <c r="M186" s="10" t="s">
        <v>482</v>
      </c>
      <c r="N186" s="10" t="str">
        <f>IFERROR(VLOOKUP(M186,[1]DESC!A:B,2,FALSE),"")</f>
        <v/>
      </c>
      <c r="O186" s="9" t="s">
        <v>116</v>
      </c>
      <c r="P186" s="9" t="s">
        <v>117</v>
      </c>
      <c r="Q186" s="9" t="s">
        <v>118</v>
      </c>
      <c r="R186" s="9" t="s">
        <v>146</v>
      </c>
      <c r="S186" s="9" t="s">
        <v>147</v>
      </c>
      <c r="T186" s="11" t="s">
        <v>148</v>
      </c>
      <c r="U186" s="12" t="s">
        <v>149</v>
      </c>
      <c r="V186" s="12" t="s">
        <v>150</v>
      </c>
      <c r="W186" s="9">
        <v>0</v>
      </c>
      <c r="X186" s="9" t="s">
        <v>146</v>
      </c>
      <c r="Y186" s="9" t="s">
        <v>147</v>
      </c>
      <c r="Z186" s="9" t="s">
        <v>148</v>
      </c>
      <c r="AA186" s="9" t="s">
        <v>151</v>
      </c>
      <c r="AB186" s="12" t="s">
        <v>161</v>
      </c>
      <c r="AC186" s="9">
        <v>65</v>
      </c>
    </row>
    <row r="187" spans="1:29" ht="22.5" customHeight="1">
      <c r="A187" s="9" t="s">
        <v>29</v>
      </c>
      <c r="B187" s="9" t="s">
        <v>479</v>
      </c>
      <c r="C187" s="9" t="s">
        <v>113</v>
      </c>
      <c r="D187" s="9" t="s">
        <v>76</v>
      </c>
      <c r="E187" s="9"/>
      <c r="F187" s="9" t="s">
        <v>33</v>
      </c>
      <c r="G187" s="9">
        <v>2</v>
      </c>
      <c r="H187" s="10"/>
      <c r="I187" s="9" t="s">
        <v>484</v>
      </c>
      <c r="J187" s="9" t="s">
        <v>481</v>
      </c>
      <c r="K187" s="9"/>
      <c r="L187" s="9"/>
      <c r="M187" s="10" t="s">
        <v>482</v>
      </c>
      <c r="N187" s="10" t="str">
        <f>IFERROR(VLOOKUP(M187,[1]DESC!A:B,2,FALSE),"")</f>
        <v/>
      </c>
      <c r="O187" s="9" t="s">
        <v>116</v>
      </c>
      <c r="P187" s="9" t="s">
        <v>117</v>
      </c>
      <c r="Q187" s="9" t="s">
        <v>118</v>
      </c>
      <c r="R187" s="9" t="s">
        <v>146</v>
      </c>
      <c r="S187" s="9" t="s">
        <v>147</v>
      </c>
      <c r="T187" s="11" t="s">
        <v>148</v>
      </c>
      <c r="U187" s="12" t="s">
        <v>149</v>
      </c>
      <c r="V187" s="12" t="s">
        <v>150</v>
      </c>
      <c r="W187" s="9">
        <v>0</v>
      </c>
      <c r="X187" s="9" t="s">
        <v>146</v>
      </c>
      <c r="Y187" s="9" t="s">
        <v>147</v>
      </c>
      <c r="Z187" s="9" t="s">
        <v>148</v>
      </c>
      <c r="AA187" s="9" t="s">
        <v>151</v>
      </c>
      <c r="AB187" s="12" t="s">
        <v>161</v>
      </c>
      <c r="AC187" s="9">
        <v>65</v>
      </c>
    </row>
    <row r="188" spans="1:29" ht="22.5" customHeight="1">
      <c r="A188" s="9" t="s">
        <v>29</v>
      </c>
      <c r="B188" s="9" t="s">
        <v>479</v>
      </c>
      <c r="C188" s="9" t="s">
        <v>113</v>
      </c>
      <c r="D188" s="9" t="s">
        <v>76</v>
      </c>
      <c r="E188" s="9"/>
      <c r="F188" s="9" t="s">
        <v>33</v>
      </c>
      <c r="G188" s="9">
        <v>2</v>
      </c>
      <c r="H188" s="10"/>
      <c r="I188" s="9" t="s">
        <v>485</v>
      </c>
      <c r="J188" s="9" t="s">
        <v>481</v>
      </c>
      <c r="K188" s="9"/>
      <c r="L188" s="9"/>
      <c r="M188" s="10" t="s">
        <v>482</v>
      </c>
      <c r="N188" s="10" t="str">
        <f>IFERROR(VLOOKUP(M188,[1]DESC!A:B,2,FALSE),"")</f>
        <v/>
      </c>
      <c r="O188" s="9" t="s">
        <v>116</v>
      </c>
      <c r="P188" s="9" t="s">
        <v>117</v>
      </c>
      <c r="Q188" s="9" t="s">
        <v>118</v>
      </c>
      <c r="R188" s="9" t="s">
        <v>146</v>
      </c>
      <c r="S188" s="9" t="s">
        <v>147</v>
      </c>
      <c r="T188" s="11" t="s">
        <v>148</v>
      </c>
      <c r="U188" s="12" t="s">
        <v>149</v>
      </c>
      <c r="V188" s="12" t="s">
        <v>150</v>
      </c>
      <c r="W188" s="9">
        <v>0</v>
      </c>
      <c r="X188" s="9" t="s">
        <v>146</v>
      </c>
      <c r="Y188" s="9" t="s">
        <v>147</v>
      </c>
      <c r="Z188" s="9" t="s">
        <v>148</v>
      </c>
      <c r="AA188" s="9" t="s">
        <v>151</v>
      </c>
      <c r="AB188" s="12" t="s">
        <v>161</v>
      </c>
      <c r="AC188" s="9">
        <v>65</v>
      </c>
    </row>
    <row r="189" spans="1:29" ht="22.5" customHeight="1">
      <c r="A189" s="9" t="s">
        <v>29</v>
      </c>
      <c r="B189" s="9" t="s">
        <v>479</v>
      </c>
      <c r="C189" s="9" t="s">
        <v>113</v>
      </c>
      <c r="D189" s="9" t="s">
        <v>76</v>
      </c>
      <c r="E189" s="9"/>
      <c r="F189" s="9" t="s">
        <v>33</v>
      </c>
      <c r="G189" s="9">
        <v>2</v>
      </c>
      <c r="H189" s="10"/>
      <c r="I189" s="9" t="s">
        <v>486</v>
      </c>
      <c r="J189" s="9" t="s">
        <v>481</v>
      </c>
      <c r="K189" s="9"/>
      <c r="L189" s="9"/>
      <c r="M189" s="10" t="s">
        <v>482</v>
      </c>
      <c r="N189" s="10" t="str">
        <f>IFERROR(VLOOKUP(M189,[1]DESC!A:B,2,FALSE),"")</f>
        <v/>
      </c>
      <c r="O189" s="9" t="s">
        <v>116</v>
      </c>
      <c r="P189" s="9" t="s">
        <v>117</v>
      </c>
      <c r="Q189" s="9" t="s">
        <v>118</v>
      </c>
      <c r="R189" s="9" t="s">
        <v>146</v>
      </c>
      <c r="S189" s="9" t="s">
        <v>147</v>
      </c>
      <c r="T189" s="11" t="s">
        <v>148</v>
      </c>
      <c r="U189" s="12" t="s">
        <v>149</v>
      </c>
      <c r="V189" s="12" t="s">
        <v>150</v>
      </c>
      <c r="W189" s="9">
        <v>0</v>
      </c>
      <c r="X189" s="9" t="s">
        <v>146</v>
      </c>
      <c r="Y189" s="9" t="s">
        <v>147</v>
      </c>
      <c r="Z189" s="9" t="s">
        <v>148</v>
      </c>
      <c r="AA189" s="9" t="s">
        <v>151</v>
      </c>
      <c r="AB189" s="12" t="s">
        <v>161</v>
      </c>
      <c r="AC189" s="9">
        <v>65</v>
      </c>
    </row>
    <row r="190" spans="1:29" ht="22.5" customHeight="1">
      <c r="A190" s="9" t="s">
        <v>29</v>
      </c>
      <c r="B190" s="9" t="s">
        <v>479</v>
      </c>
      <c r="C190" s="9" t="s">
        <v>113</v>
      </c>
      <c r="D190" s="9" t="s">
        <v>76</v>
      </c>
      <c r="E190" s="9"/>
      <c r="F190" s="9" t="s">
        <v>33</v>
      </c>
      <c r="G190" s="9">
        <v>2</v>
      </c>
      <c r="H190" s="10"/>
      <c r="I190" s="9" t="s">
        <v>487</v>
      </c>
      <c r="J190" s="9" t="s">
        <v>481</v>
      </c>
      <c r="K190" s="9"/>
      <c r="L190" s="9"/>
      <c r="M190" s="10" t="s">
        <v>482</v>
      </c>
      <c r="N190" s="10" t="str">
        <f>IFERROR(VLOOKUP(M190,[1]DESC!A:B,2,FALSE),"")</f>
        <v/>
      </c>
      <c r="O190" s="9" t="s">
        <v>116</v>
      </c>
      <c r="P190" s="9" t="s">
        <v>117</v>
      </c>
      <c r="Q190" s="9" t="s">
        <v>118</v>
      </c>
      <c r="R190" s="9" t="s">
        <v>146</v>
      </c>
      <c r="S190" s="9" t="s">
        <v>147</v>
      </c>
      <c r="T190" s="11" t="s">
        <v>148</v>
      </c>
      <c r="U190" s="12" t="s">
        <v>149</v>
      </c>
      <c r="V190" s="12" t="s">
        <v>150</v>
      </c>
      <c r="W190" s="9">
        <v>0</v>
      </c>
      <c r="X190" s="9" t="s">
        <v>146</v>
      </c>
      <c r="Y190" s="9" t="s">
        <v>147</v>
      </c>
      <c r="Z190" s="9" t="s">
        <v>148</v>
      </c>
      <c r="AA190" s="9" t="s">
        <v>151</v>
      </c>
      <c r="AB190" s="12" t="s">
        <v>161</v>
      </c>
      <c r="AC190" s="9">
        <v>65</v>
      </c>
    </row>
    <row r="191" spans="1:29" ht="22.5" customHeight="1">
      <c r="A191" s="9" t="s">
        <v>29</v>
      </c>
      <c r="B191" s="9" t="s">
        <v>479</v>
      </c>
      <c r="C191" s="9" t="s">
        <v>113</v>
      </c>
      <c r="D191" s="9" t="s">
        <v>76</v>
      </c>
      <c r="E191" s="9"/>
      <c r="F191" s="9" t="s">
        <v>33</v>
      </c>
      <c r="G191" s="9">
        <v>2</v>
      </c>
      <c r="H191" s="10"/>
      <c r="I191" s="9" t="s">
        <v>488</v>
      </c>
      <c r="J191" s="9" t="s">
        <v>481</v>
      </c>
      <c r="K191" s="9"/>
      <c r="L191" s="9"/>
      <c r="M191" s="10" t="s">
        <v>482</v>
      </c>
      <c r="N191" s="10" t="str">
        <f>IFERROR(VLOOKUP(M191,[1]DESC!A:B,2,FALSE),"")</f>
        <v/>
      </c>
      <c r="O191" s="9" t="s">
        <v>116</v>
      </c>
      <c r="P191" s="9" t="s">
        <v>117</v>
      </c>
      <c r="Q191" s="9" t="s">
        <v>118</v>
      </c>
      <c r="R191" s="9" t="s">
        <v>146</v>
      </c>
      <c r="S191" s="9" t="s">
        <v>147</v>
      </c>
      <c r="T191" s="11" t="s">
        <v>148</v>
      </c>
      <c r="U191" s="12" t="s">
        <v>149</v>
      </c>
      <c r="V191" s="12" t="s">
        <v>150</v>
      </c>
      <c r="W191" s="9">
        <v>0</v>
      </c>
      <c r="X191" s="9" t="s">
        <v>146</v>
      </c>
      <c r="Y191" s="9" t="s">
        <v>147</v>
      </c>
      <c r="Z191" s="9" t="s">
        <v>148</v>
      </c>
      <c r="AA191" s="9" t="s">
        <v>151</v>
      </c>
      <c r="AB191" s="12" t="s">
        <v>161</v>
      </c>
      <c r="AC191" s="9">
        <v>65</v>
      </c>
    </row>
    <row r="192" spans="1:29" ht="22.5" customHeight="1">
      <c r="A192" s="9" t="s">
        <v>29</v>
      </c>
      <c r="B192" s="9" t="s">
        <v>479</v>
      </c>
      <c r="C192" s="9" t="s">
        <v>113</v>
      </c>
      <c r="D192" s="9" t="s">
        <v>76</v>
      </c>
      <c r="E192" s="9"/>
      <c r="F192" s="9" t="s">
        <v>33</v>
      </c>
      <c r="G192" s="9">
        <v>2</v>
      </c>
      <c r="H192" s="10"/>
      <c r="I192" s="9" t="s">
        <v>489</v>
      </c>
      <c r="J192" s="9" t="s">
        <v>481</v>
      </c>
      <c r="K192" s="9"/>
      <c r="L192" s="9"/>
      <c r="M192" s="10" t="s">
        <v>482</v>
      </c>
      <c r="N192" s="10" t="str">
        <f>IFERROR(VLOOKUP(M192,[1]DESC!A:B,2,FALSE),"")</f>
        <v/>
      </c>
      <c r="O192" s="9" t="s">
        <v>116</v>
      </c>
      <c r="P192" s="9" t="s">
        <v>117</v>
      </c>
      <c r="Q192" s="9" t="s">
        <v>118</v>
      </c>
      <c r="R192" s="9" t="s">
        <v>146</v>
      </c>
      <c r="S192" s="9" t="s">
        <v>147</v>
      </c>
      <c r="T192" s="11" t="s">
        <v>148</v>
      </c>
      <c r="U192" s="12" t="s">
        <v>149</v>
      </c>
      <c r="V192" s="12" t="s">
        <v>150</v>
      </c>
      <c r="W192" s="9">
        <v>0</v>
      </c>
      <c r="X192" s="9" t="s">
        <v>146</v>
      </c>
      <c r="Y192" s="9" t="s">
        <v>147</v>
      </c>
      <c r="Z192" s="9" t="s">
        <v>148</v>
      </c>
      <c r="AA192" s="9" t="s">
        <v>151</v>
      </c>
      <c r="AB192" s="12" t="s">
        <v>161</v>
      </c>
      <c r="AC192" s="9">
        <v>65</v>
      </c>
    </row>
    <row r="193" spans="1:29" ht="22.5" customHeight="1">
      <c r="A193" s="9" t="s">
        <v>29</v>
      </c>
      <c r="B193" s="9" t="s">
        <v>479</v>
      </c>
      <c r="C193" s="9" t="s">
        <v>113</v>
      </c>
      <c r="D193" s="9" t="s">
        <v>76</v>
      </c>
      <c r="E193" s="9"/>
      <c r="F193" s="9" t="s">
        <v>33</v>
      </c>
      <c r="G193" s="9">
        <v>2</v>
      </c>
      <c r="H193" s="10"/>
      <c r="I193" s="9" t="s">
        <v>490</v>
      </c>
      <c r="J193" s="9" t="s">
        <v>481</v>
      </c>
      <c r="K193" s="9"/>
      <c r="L193" s="9"/>
      <c r="M193" s="10" t="s">
        <v>482</v>
      </c>
      <c r="N193" s="10" t="str">
        <f>IFERROR(VLOOKUP(M193,[1]DESC!A:B,2,FALSE),"")</f>
        <v/>
      </c>
      <c r="O193" s="9" t="s">
        <v>116</v>
      </c>
      <c r="P193" s="9" t="s">
        <v>117</v>
      </c>
      <c r="Q193" s="9" t="s">
        <v>118</v>
      </c>
      <c r="R193" s="9" t="s">
        <v>146</v>
      </c>
      <c r="S193" s="9" t="s">
        <v>147</v>
      </c>
      <c r="T193" s="11" t="s">
        <v>148</v>
      </c>
      <c r="U193" s="12" t="s">
        <v>149</v>
      </c>
      <c r="V193" s="12" t="s">
        <v>150</v>
      </c>
      <c r="W193" s="9">
        <v>0</v>
      </c>
      <c r="X193" s="9" t="s">
        <v>146</v>
      </c>
      <c r="Y193" s="9" t="s">
        <v>147</v>
      </c>
      <c r="Z193" s="9" t="s">
        <v>148</v>
      </c>
      <c r="AA193" s="9" t="s">
        <v>151</v>
      </c>
      <c r="AB193" s="12" t="s">
        <v>161</v>
      </c>
      <c r="AC193" s="9">
        <v>65</v>
      </c>
    </row>
    <row r="194" spans="1:29" ht="22.5" customHeight="1">
      <c r="A194" s="9" t="s">
        <v>29</v>
      </c>
      <c r="B194" s="9" t="s">
        <v>479</v>
      </c>
      <c r="C194" s="9" t="s">
        <v>113</v>
      </c>
      <c r="D194" s="9" t="s">
        <v>76</v>
      </c>
      <c r="E194" s="9"/>
      <c r="F194" s="9" t="s">
        <v>33</v>
      </c>
      <c r="G194" s="9">
        <v>2</v>
      </c>
      <c r="H194" s="10"/>
      <c r="I194" s="9" t="s">
        <v>491</v>
      </c>
      <c r="J194" s="9" t="s">
        <v>481</v>
      </c>
      <c r="K194" s="9"/>
      <c r="L194" s="9"/>
      <c r="M194" s="10" t="s">
        <v>482</v>
      </c>
      <c r="N194" s="10" t="str">
        <f>IFERROR(VLOOKUP(M194,[1]DESC!A:B,2,FALSE),"")</f>
        <v/>
      </c>
      <c r="O194" s="9" t="s">
        <v>116</v>
      </c>
      <c r="P194" s="9" t="s">
        <v>117</v>
      </c>
      <c r="Q194" s="9" t="s">
        <v>118</v>
      </c>
      <c r="R194" s="9" t="s">
        <v>146</v>
      </c>
      <c r="S194" s="9" t="s">
        <v>147</v>
      </c>
      <c r="T194" s="11" t="s">
        <v>148</v>
      </c>
      <c r="U194" s="12" t="s">
        <v>149</v>
      </c>
      <c r="V194" s="12" t="s">
        <v>150</v>
      </c>
      <c r="W194" s="9">
        <v>0</v>
      </c>
      <c r="X194" s="9" t="s">
        <v>146</v>
      </c>
      <c r="Y194" s="9" t="s">
        <v>147</v>
      </c>
      <c r="Z194" s="9" t="s">
        <v>148</v>
      </c>
      <c r="AA194" s="9" t="s">
        <v>151</v>
      </c>
      <c r="AB194" s="12" t="s">
        <v>161</v>
      </c>
      <c r="AC194" s="9">
        <v>65</v>
      </c>
    </row>
    <row r="195" spans="1:29" ht="22.5" customHeight="1">
      <c r="A195" s="9" t="s">
        <v>29</v>
      </c>
      <c r="B195" s="9" t="s">
        <v>479</v>
      </c>
      <c r="C195" s="9" t="s">
        <v>113</v>
      </c>
      <c r="D195" s="9" t="s">
        <v>76</v>
      </c>
      <c r="E195" s="9"/>
      <c r="F195" s="9" t="s">
        <v>33</v>
      </c>
      <c r="G195" s="9">
        <v>2</v>
      </c>
      <c r="H195" s="10"/>
      <c r="I195" s="9" t="s">
        <v>190</v>
      </c>
      <c r="J195" s="9" t="s">
        <v>481</v>
      </c>
      <c r="K195" s="9"/>
      <c r="L195" s="9"/>
      <c r="M195" s="10" t="s">
        <v>482</v>
      </c>
      <c r="N195" s="10" t="str">
        <f>IFERROR(VLOOKUP(M195,[1]DESC!A:B,2,FALSE),"")</f>
        <v/>
      </c>
      <c r="O195" s="9" t="s">
        <v>116</v>
      </c>
      <c r="P195" s="9" t="s">
        <v>117</v>
      </c>
      <c r="Q195" s="9" t="s">
        <v>118</v>
      </c>
      <c r="R195" s="9" t="s">
        <v>146</v>
      </c>
      <c r="S195" s="9" t="s">
        <v>147</v>
      </c>
      <c r="T195" s="11" t="s">
        <v>148</v>
      </c>
      <c r="U195" s="12" t="s">
        <v>149</v>
      </c>
      <c r="V195" s="12" t="s">
        <v>150</v>
      </c>
      <c r="W195" s="9">
        <v>0</v>
      </c>
      <c r="X195" s="9" t="s">
        <v>146</v>
      </c>
      <c r="Y195" s="9" t="s">
        <v>147</v>
      </c>
      <c r="Z195" s="9" t="s">
        <v>148</v>
      </c>
      <c r="AA195" s="9" t="s">
        <v>151</v>
      </c>
      <c r="AB195" s="12" t="s">
        <v>161</v>
      </c>
      <c r="AC195" s="9">
        <v>65</v>
      </c>
    </row>
    <row r="196" spans="1:29" ht="22.5" customHeight="1">
      <c r="A196" s="9" t="s">
        <v>29</v>
      </c>
      <c r="B196" s="9" t="s">
        <v>479</v>
      </c>
      <c r="C196" s="9" t="s">
        <v>113</v>
      </c>
      <c r="D196" s="9" t="s">
        <v>76</v>
      </c>
      <c r="E196" s="9"/>
      <c r="F196" s="9" t="s">
        <v>33</v>
      </c>
      <c r="G196" s="9">
        <v>2</v>
      </c>
      <c r="H196" s="10"/>
      <c r="I196" s="9" t="s">
        <v>192</v>
      </c>
      <c r="J196" s="9" t="s">
        <v>481</v>
      </c>
      <c r="K196" s="9"/>
      <c r="L196" s="9"/>
      <c r="M196" s="10" t="s">
        <v>482</v>
      </c>
      <c r="N196" s="10" t="str">
        <f>IFERROR(VLOOKUP(M196,[1]DESC!A:B,2,FALSE),"")</f>
        <v/>
      </c>
      <c r="O196" s="9" t="s">
        <v>116</v>
      </c>
      <c r="P196" s="9" t="s">
        <v>117</v>
      </c>
      <c r="Q196" s="9" t="s">
        <v>118</v>
      </c>
      <c r="R196" s="9" t="s">
        <v>146</v>
      </c>
      <c r="S196" s="9" t="s">
        <v>147</v>
      </c>
      <c r="T196" s="11" t="s">
        <v>148</v>
      </c>
      <c r="U196" s="12" t="s">
        <v>149</v>
      </c>
      <c r="V196" s="12" t="s">
        <v>150</v>
      </c>
      <c r="W196" s="9">
        <v>0</v>
      </c>
      <c r="X196" s="9" t="s">
        <v>146</v>
      </c>
      <c r="Y196" s="9" t="s">
        <v>147</v>
      </c>
      <c r="Z196" s="9" t="s">
        <v>148</v>
      </c>
      <c r="AA196" s="9" t="s">
        <v>151</v>
      </c>
      <c r="AB196" s="12" t="s">
        <v>161</v>
      </c>
      <c r="AC196" s="9">
        <v>65</v>
      </c>
    </row>
    <row r="197" spans="1:29" ht="22.5" customHeight="1">
      <c r="A197" s="9" t="s">
        <v>29</v>
      </c>
      <c r="B197" s="9" t="s">
        <v>479</v>
      </c>
      <c r="C197" s="9" t="s">
        <v>113</v>
      </c>
      <c r="D197" s="9" t="s">
        <v>76</v>
      </c>
      <c r="E197" s="9"/>
      <c r="F197" s="9" t="s">
        <v>33</v>
      </c>
      <c r="G197" s="9">
        <v>2</v>
      </c>
      <c r="H197" s="10"/>
      <c r="I197" s="9" t="s">
        <v>492</v>
      </c>
      <c r="J197" s="9" t="s">
        <v>481</v>
      </c>
      <c r="K197" s="9"/>
      <c r="L197" s="9"/>
      <c r="M197" s="10" t="s">
        <v>482</v>
      </c>
      <c r="N197" s="10" t="str">
        <f>IFERROR(VLOOKUP(M197,[1]DESC!A:B,2,FALSE),"")</f>
        <v/>
      </c>
      <c r="O197" s="9" t="s">
        <v>116</v>
      </c>
      <c r="P197" s="9" t="s">
        <v>117</v>
      </c>
      <c r="Q197" s="9" t="s">
        <v>118</v>
      </c>
      <c r="R197" s="9" t="s">
        <v>146</v>
      </c>
      <c r="S197" s="9" t="s">
        <v>147</v>
      </c>
      <c r="T197" s="11" t="s">
        <v>148</v>
      </c>
      <c r="U197" s="12" t="s">
        <v>149</v>
      </c>
      <c r="V197" s="12" t="s">
        <v>150</v>
      </c>
      <c r="W197" s="9">
        <v>0</v>
      </c>
      <c r="X197" s="9" t="s">
        <v>146</v>
      </c>
      <c r="Y197" s="9" t="s">
        <v>147</v>
      </c>
      <c r="Z197" s="9" t="s">
        <v>148</v>
      </c>
      <c r="AA197" s="9" t="s">
        <v>151</v>
      </c>
      <c r="AB197" s="12" t="s">
        <v>161</v>
      </c>
      <c r="AC197" s="9">
        <v>65</v>
      </c>
    </row>
    <row r="198" spans="1:29" ht="22.5" customHeight="1">
      <c r="A198" s="9" t="s">
        <v>29</v>
      </c>
      <c r="B198" s="9" t="s">
        <v>479</v>
      </c>
      <c r="C198" s="9" t="s">
        <v>113</v>
      </c>
      <c r="D198" s="9" t="s">
        <v>76</v>
      </c>
      <c r="E198" s="9"/>
      <c r="F198" s="9" t="s">
        <v>33</v>
      </c>
      <c r="G198" s="9">
        <v>2</v>
      </c>
      <c r="H198" s="10"/>
      <c r="I198" s="9" t="s">
        <v>493</v>
      </c>
      <c r="J198" s="9" t="s">
        <v>481</v>
      </c>
      <c r="K198" s="9"/>
      <c r="L198" s="9"/>
      <c r="M198" s="10" t="s">
        <v>482</v>
      </c>
      <c r="N198" s="10" t="str">
        <f>IFERROR(VLOOKUP(M198,[1]DESC!A:B,2,FALSE),"")</f>
        <v/>
      </c>
      <c r="O198" s="9" t="s">
        <v>116</v>
      </c>
      <c r="P198" s="9" t="s">
        <v>117</v>
      </c>
      <c r="Q198" s="9" t="s">
        <v>118</v>
      </c>
      <c r="R198" s="9" t="s">
        <v>146</v>
      </c>
      <c r="S198" s="9" t="s">
        <v>147</v>
      </c>
      <c r="T198" s="11" t="s">
        <v>148</v>
      </c>
      <c r="U198" s="12" t="s">
        <v>149</v>
      </c>
      <c r="V198" s="12" t="s">
        <v>150</v>
      </c>
      <c r="W198" s="9">
        <v>0</v>
      </c>
      <c r="X198" s="9" t="s">
        <v>146</v>
      </c>
      <c r="Y198" s="9" t="s">
        <v>147</v>
      </c>
      <c r="Z198" s="9" t="s">
        <v>148</v>
      </c>
      <c r="AA198" s="9" t="s">
        <v>151</v>
      </c>
      <c r="AB198" s="12" t="s">
        <v>161</v>
      </c>
      <c r="AC198" s="9">
        <v>65</v>
      </c>
    </row>
    <row r="199" spans="1:29" ht="22.5" customHeight="1">
      <c r="A199" s="9" t="s">
        <v>29</v>
      </c>
      <c r="B199" s="9" t="s">
        <v>479</v>
      </c>
      <c r="C199" s="9" t="s">
        <v>113</v>
      </c>
      <c r="D199" s="9" t="s">
        <v>76</v>
      </c>
      <c r="E199" s="9"/>
      <c r="F199" s="9" t="s">
        <v>33</v>
      </c>
      <c r="G199" s="9">
        <v>2</v>
      </c>
      <c r="H199" s="10"/>
      <c r="I199" s="9" t="s">
        <v>494</v>
      </c>
      <c r="J199" s="9" t="s">
        <v>481</v>
      </c>
      <c r="K199" s="9"/>
      <c r="L199" s="9"/>
      <c r="M199" s="10" t="s">
        <v>482</v>
      </c>
      <c r="N199" s="10" t="str">
        <f>IFERROR(VLOOKUP(M199,[1]DESC!A:B,2,FALSE),"")</f>
        <v/>
      </c>
      <c r="O199" s="9" t="s">
        <v>116</v>
      </c>
      <c r="P199" s="9" t="s">
        <v>117</v>
      </c>
      <c r="Q199" s="9" t="s">
        <v>118</v>
      </c>
      <c r="R199" s="9" t="s">
        <v>146</v>
      </c>
      <c r="S199" s="9" t="s">
        <v>147</v>
      </c>
      <c r="T199" s="11" t="s">
        <v>148</v>
      </c>
      <c r="U199" s="12" t="s">
        <v>149</v>
      </c>
      <c r="V199" s="12" t="s">
        <v>150</v>
      </c>
      <c r="W199" s="9">
        <v>0</v>
      </c>
      <c r="X199" s="9" t="s">
        <v>146</v>
      </c>
      <c r="Y199" s="9" t="s">
        <v>147</v>
      </c>
      <c r="Z199" s="9" t="s">
        <v>148</v>
      </c>
      <c r="AA199" s="9" t="s">
        <v>151</v>
      </c>
      <c r="AB199" s="12" t="s">
        <v>161</v>
      </c>
      <c r="AC199" s="9">
        <v>65</v>
      </c>
    </row>
    <row r="200" spans="1:29" ht="22.5" customHeight="1">
      <c r="A200" s="9" t="s">
        <v>29</v>
      </c>
      <c r="B200" s="9" t="s">
        <v>479</v>
      </c>
      <c r="C200" s="9" t="s">
        <v>113</v>
      </c>
      <c r="D200" s="9" t="s">
        <v>76</v>
      </c>
      <c r="E200" s="9"/>
      <c r="F200" s="9" t="s">
        <v>33</v>
      </c>
      <c r="G200" s="9">
        <v>2</v>
      </c>
      <c r="H200" s="10"/>
      <c r="I200" s="9" t="s">
        <v>495</v>
      </c>
      <c r="J200" s="9" t="s">
        <v>481</v>
      </c>
      <c r="K200" s="9"/>
      <c r="L200" s="9"/>
      <c r="M200" s="10" t="s">
        <v>482</v>
      </c>
      <c r="N200" s="10" t="str">
        <f>IFERROR(VLOOKUP(M200,[1]DESC!A:B,2,FALSE),"")</f>
        <v/>
      </c>
      <c r="O200" s="9" t="s">
        <v>116</v>
      </c>
      <c r="P200" s="9" t="s">
        <v>117</v>
      </c>
      <c r="Q200" s="9" t="s">
        <v>118</v>
      </c>
      <c r="R200" s="9" t="s">
        <v>146</v>
      </c>
      <c r="S200" s="9" t="s">
        <v>147</v>
      </c>
      <c r="T200" s="11" t="s">
        <v>148</v>
      </c>
      <c r="U200" s="12" t="s">
        <v>149</v>
      </c>
      <c r="V200" s="12" t="s">
        <v>150</v>
      </c>
      <c r="W200" s="9">
        <v>0</v>
      </c>
      <c r="X200" s="9" t="s">
        <v>146</v>
      </c>
      <c r="Y200" s="9" t="s">
        <v>147</v>
      </c>
      <c r="Z200" s="9" t="s">
        <v>148</v>
      </c>
      <c r="AA200" s="9" t="s">
        <v>151</v>
      </c>
      <c r="AB200" s="12" t="s">
        <v>161</v>
      </c>
      <c r="AC200" s="9">
        <v>65</v>
      </c>
    </row>
    <row r="201" spans="1:29" ht="22.5" customHeight="1">
      <c r="A201" s="9" t="s">
        <v>29</v>
      </c>
      <c r="B201" s="9" t="s">
        <v>479</v>
      </c>
      <c r="C201" s="9" t="s">
        <v>113</v>
      </c>
      <c r="D201" s="9" t="s">
        <v>76</v>
      </c>
      <c r="E201" s="9"/>
      <c r="F201" s="9" t="s">
        <v>33</v>
      </c>
      <c r="G201" s="9">
        <v>2</v>
      </c>
      <c r="H201" s="10"/>
      <c r="I201" s="9" t="s">
        <v>496</v>
      </c>
      <c r="J201" s="9" t="s">
        <v>481</v>
      </c>
      <c r="K201" s="9"/>
      <c r="L201" s="9"/>
      <c r="M201" s="10" t="s">
        <v>482</v>
      </c>
      <c r="N201" s="10" t="str">
        <f>IFERROR(VLOOKUP(M201,[1]DESC!A:B,2,FALSE),"")</f>
        <v/>
      </c>
      <c r="O201" s="9" t="s">
        <v>116</v>
      </c>
      <c r="P201" s="9" t="s">
        <v>117</v>
      </c>
      <c r="Q201" s="9" t="s">
        <v>118</v>
      </c>
      <c r="R201" s="9" t="s">
        <v>146</v>
      </c>
      <c r="S201" s="9" t="s">
        <v>147</v>
      </c>
      <c r="T201" s="11" t="s">
        <v>148</v>
      </c>
      <c r="U201" s="12" t="s">
        <v>149</v>
      </c>
      <c r="V201" s="12" t="s">
        <v>150</v>
      </c>
      <c r="W201" s="9">
        <v>0</v>
      </c>
      <c r="X201" s="9" t="s">
        <v>146</v>
      </c>
      <c r="Y201" s="9" t="s">
        <v>147</v>
      </c>
      <c r="Z201" s="9" t="s">
        <v>148</v>
      </c>
      <c r="AA201" s="9" t="s">
        <v>151</v>
      </c>
      <c r="AB201" s="12" t="s">
        <v>161</v>
      </c>
      <c r="AC201" s="9">
        <v>65</v>
      </c>
    </row>
    <row r="202" spans="1:29" ht="22.5" customHeight="1">
      <c r="A202" s="9" t="s">
        <v>29</v>
      </c>
      <c r="B202" s="9" t="s">
        <v>479</v>
      </c>
      <c r="C202" s="9" t="s">
        <v>113</v>
      </c>
      <c r="D202" s="9" t="s">
        <v>76</v>
      </c>
      <c r="E202" s="9"/>
      <c r="F202" s="9" t="s">
        <v>33</v>
      </c>
      <c r="G202" s="9">
        <v>2</v>
      </c>
      <c r="H202" s="10"/>
      <c r="I202" s="9" t="s">
        <v>196</v>
      </c>
      <c r="J202" s="9" t="s">
        <v>481</v>
      </c>
      <c r="K202" s="9"/>
      <c r="L202" s="9"/>
      <c r="M202" s="10" t="s">
        <v>482</v>
      </c>
      <c r="N202" s="10" t="str">
        <f>IFERROR(VLOOKUP(M202,[1]DESC!A:B,2,FALSE),"")</f>
        <v/>
      </c>
      <c r="O202" s="9" t="s">
        <v>116</v>
      </c>
      <c r="P202" s="9" t="s">
        <v>117</v>
      </c>
      <c r="Q202" s="9" t="s">
        <v>118</v>
      </c>
      <c r="R202" s="9" t="s">
        <v>146</v>
      </c>
      <c r="S202" s="9" t="s">
        <v>147</v>
      </c>
      <c r="T202" s="11" t="s">
        <v>148</v>
      </c>
      <c r="U202" s="12" t="s">
        <v>149</v>
      </c>
      <c r="V202" s="12" t="s">
        <v>150</v>
      </c>
      <c r="W202" s="9">
        <v>0</v>
      </c>
      <c r="X202" s="9" t="s">
        <v>146</v>
      </c>
      <c r="Y202" s="9" t="s">
        <v>147</v>
      </c>
      <c r="Z202" s="9" t="s">
        <v>148</v>
      </c>
      <c r="AA202" s="9" t="s">
        <v>151</v>
      </c>
      <c r="AB202" s="12" t="s">
        <v>161</v>
      </c>
      <c r="AC202" s="9">
        <v>65</v>
      </c>
    </row>
    <row r="203" spans="1:29" ht="22.5" customHeight="1">
      <c r="A203" s="9" t="s">
        <v>29</v>
      </c>
      <c r="B203" s="9" t="s">
        <v>479</v>
      </c>
      <c r="C203" s="9" t="s">
        <v>113</v>
      </c>
      <c r="D203" s="9" t="s">
        <v>76</v>
      </c>
      <c r="E203" s="9"/>
      <c r="F203" s="9" t="s">
        <v>33</v>
      </c>
      <c r="G203" s="9">
        <v>2</v>
      </c>
      <c r="H203" s="10"/>
      <c r="I203" s="9" t="s">
        <v>497</v>
      </c>
      <c r="J203" s="9" t="s">
        <v>481</v>
      </c>
      <c r="K203" s="9"/>
      <c r="L203" s="9"/>
      <c r="M203" s="10" t="s">
        <v>482</v>
      </c>
      <c r="N203" s="10" t="str">
        <f>IFERROR(VLOOKUP(M203,[1]DESC!A:B,2,FALSE),"")</f>
        <v/>
      </c>
      <c r="O203" s="9" t="s">
        <v>116</v>
      </c>
      <c r="P203" s="9" t="s">
        <v>117</v>
      </c>
      <c r="Q203" s="9" t="s">
        <v>118</v>
      </c>
      <c r="R203" s="9" t="s">
        <v>146</v>
      </c>
      <c r="S203" s="9" t="s">
        <v>147</v>
      </c>
      <c r="T203" s="11" t="s">
        <v>148</v>
      </c>
      <c r="U203" s="12" t="s">
        <v>149</v>
      </c>
      <c r="V203" s="12" t="s">
        <v>150</v>
      </c>
      <c r="W203" s="9">
        <v>0</v>
      </c>
      <c r="X203" s="9" t="s">
        <v>146</v>
      </c>
      <c r="Y203" s="9" t="s">
        <v>147</v>
      </c>
      <c r="Z203" s="9" t="s">
        <v>148</v>
      </c>
      <c r="AA203" s="9" t="s">
        <v>151</v>
      </c>
      <c r="AB203" s="12" t="s">
        <v>161</v>
      </c>
      <c r="AC203" s="9">
        <v>65</v>
      </c>
    </row>
    <row r="204" spans="1:29" ht="22.5" customHeight="1">
      <c r="A204" s="9" t="s">
        <v>29</v>
      </c>
      <c r="B204" s="9" t="s">
        <v>479</v>
      </c>
      <c r="C204" s="9" t="s">
        <v>113</v>
      </c>
      <c r="D204" s="9" t="s">
        <v>76</v>
      </c>
      <c r="E204" s="9"/>
      <c r="F204" s="9" t="s">
        <v>33</v>
      </c>
      <c r="G204" s="9">
        <v>2</v>
      </c>
      <c r="H204" s="10"/>
      <c r="I204" s="9" t="s">
        <v>498</v>
      </c>
      <c r="J204" s="9" t="s">
        <v>481</v>
      </c>
      <c r="K204" s="9"/>
      <c r="L204" s="9"/>
      <c r="M204" s="10" t="s">
        <v>482</v>
      </c>
      <c r="N204" s="10" t="str">
        <f>IFERROR(VLOOKUP(M204,[1]DESC!A:B,2,FALSE),"")</f>
        <v/>
      </c>
      <c r="O204" s="9" t="s">
        <v>116</v>
      </c>
      <c r="P204" s="9" t="s">
        <v>117</v>
      </c>
      <c r="Q204" s="9" t="s">
        <v>118</v>
      </c>
      <c r="R204" s="9" t="s">
        <v>146</v>
      </c>
      <c r="S204" s="9" t="s">
        <v>147</v>
      </c>
      <c r="T204" s="11" t="s">
        <v>148</v>
      </c>
      <c r="U204" s="12" t="s">
        <v>149</v>
      </c>
      <c r="V204" s="12" t="s">
        <v>150</v>
      </c>
      <c r="W204" s="9">
        <v>0</v>
      </c>
      <c r="X204" s="9" t="s">
        <v>146</v>
      </c>
      <c r="Y204" s="9" t="s">
        <v>147</v>
      </c>
      <c r="Z204" s="9" t="s">
        <v>148</v>
      </c>
      <c r="AA204" s="9" t="s">
        <v>151</v>
      </c>
      <c r="AB204" s="12" t="s">
        <v>161</v>
      </c>
      <c r="AC204" s="9">
        <v>65</v>
      </c>
    </row>
    <row r="205" spans="1:29" ht="22.5" customHeight="1">
      <c r="A205" s="9" t="s">
        <v>29</v>
      </c>
      <c r="B205" s="9" t="s">
        <v>479</v>
      </c>
      <c r="C205" s="9" t="s">
        <v>113</v>
      </c>
      <c r="D205" s="9" t="s">
        <v>76</v>
      </c>
      <c r="E205" s="9"/>
      <c r="F205" s="9" t="s">
        <v>33</v>
      </c>
      <c r="G205" s="9">
        <v>2</v>
      </c>
      <c r="H205" s="10"/>
      <c r="I205" s="9" t="s">
        <v>186</v>
      </c>
      <c r="J205" s="9" t="s">
        <v>481</v>
      </c>
      <c r="K205" s="9"/>
      <c r="L205" s="9"/>
      <c r="M205" s="10" t="s">
        <v>482</v>
      </c>
      <c r="N205" s="10" t="str">
        <f>IFERROR(VLOOKUP(M205,[1]DESC!A:B,2,FALSE),"")</f>
        <v/>
      </c>
      <c r="O205" s="9" t="s">
        <v>116</v>
      </c>
      <c r="P205" s="9" t="s">
        <v>117</v>
      </c>
      <c r="Q205" s="9" t="s">
        <v>118</v>
      </c>
      <c r="R205" s="9" t="s">
        <v>146</v>
      </c>
      <c r="S205" s="9" t="s">
        <v>147</v>
      </c>
      <c r="T205" s="11" t="s">
        <v>148</v>
      </c>
      <c r="U205" s="12" t="s">
        <v>149</v>
      </c>
      <c r="V205" s="12" t="s">
        <v>150</v>
      </c>
      <c r="W205" s="9">
        <v>0</v>
      </c>
      <c r="X205" s="9" t="s">
        <v>146</v>
      </c>
      <c r="Y205" s="9" t="s">
        <v>147</v>
      </c>
      <c r="Z205" s="9" t="s">
        <v>148</v>
      </c>
      <c r="AA205" s="9" t="s">
        <v>151</v>
      </c>
      <c r="AB205" s="12" t="s">
        <v>161</v>
      </c>
      <c r="AC205" s="9">
        <v>65</v>
      </c>
    </row>
    <row r="206" spans="1:29" ht="22.5" customHeight="1">
      <c r="A206" s="9" t="s">
        <v>29</v>
      </c>
      <c r="B206" s="9" t="s">
        <v>479</v>
      </c>
      <c r="C206" s="9" t="s">
        <v>113</v>
      </c>
      <c r="D206" s="9" t="s">
        <v>76</v>
      </c>
      <c r="E206" s="9"/>
      <c r="F206" s="9" t="s">
        <v>33</v>
      </c>
      <c r="G206" s="9">
        <v>2</v>
      </c>
      <c r="H206" s="10"/>
      <c r="I206" s="9" t="s">
        <v>499</v>
      </c>
      <c r="J206" s="9" t="s">
        <v>481</v>
      </c>
      <c r="K206" s="9"/>
      <c r="L206" s="9"/>
      <c r="M206" s="10" t="s">
        <v>482</v>
      </c>
      <c r="N206" s="10" t="str">
        <f>IFERROR(VLOOKUP(M206,[1]DESC!A:B,2,FALSE),"")</f>
        <v/>
      </c>
      <c r="O206" s="9" t="s">
        <v>116</v>
      </c>
      <c r="P206" s="9" t="s">
        <v>117</v>
      </c>
      <c r="Q206" s="9" t="s">
        <v>118</v>
      </c>
      <c r="R206" s="9" t="s">
        <v>146</v>
      </c>
      <c r="S206" s="9" t="s">
        <v>147</v>
      </c>
      <c r="T206" s="11" t="s">
        <v>148</v>
      </c>
      <c r="U206" s="12" t="s">
        <v>149</v>
      </c>
      <c r="V206" s="12" t="s">
        <v>150</v>
      </c>
      <c r="W206" s="9">
        <v>0</v>
      </c>
      <c r="X206" s="9" t="s">
        <v>146</v>
      </c>
      <c r="Y206" s="9" t="s">
        <v>147</v>
      </c>
      <c r="Z206" s="9" t="s">
        <v>148</v>
      </c>
      <c r="AA206" s="9" t="s">
        <v>151</v>
      </c>
      <c r="AB206" s="12" t="s">
        <v>161</v>
      </c>
      <c r="AC206" s="9">
        <v>65</v>
      </c>
    </row>
    <row r="207" spans="1:29" ht="22.5" customHeight="1">
      <c r="A207" s="9" t="s">
        <v>29</v>
      </c>
      <c r="B207" s="9" t="s">
        <v>479</v>
      </c>
      <c r="C207" s="9" t="s">
        <v>113</v>
      </c>
      <c r="D207" s="9" t="s">
        <v>76</v>
      </c>
      <c r="E207" s="9"/>
      <c r="F207" s="9" t="s">
        <v>33</v>
      </c>
      <c r="G207" s="9">
        <v>2</v>
      </c>
      <c r="H207" s="10"/>
      <c r="I207" s="9" t="s">
        <v>500</v>
      </c>
      <c r="J207" s="9" t="s">
        <v>481</v>
      </c>
      <c r="K207" s="9"/>
      <c r="L207" s="9"/>
      <c r="M207" s="10" t="s">
        <v>482</v>
      </c>
      <c r="N207" s="10" t="str">
        <f>IFERROR(VLOOKUP(M207,[1]DESC!A:B,2,FALSE),"")</f>
        <v/>
      </c>
      <c r="O207" s="9" t="s">
        <v>116</v>
      </c>
      <c r="P207" s="9" t="s">
        <v>117</v>
      </c>
      <c r="Q207" s="9" t="s">
        <v>118</v>
      </c>
      <c r="R207" s="9" t="s">
        <v>146</v>
      </c>
      <c r="S207" s="9" t="s">
        <v>147</v>
      </c>
      <c r="T207" s="11" t="s">
        <v>148</v>
      </c>
      <c r="U207" s="12" t="s">
        <v>149</v>
      </c>
      <c r="V207" s="12" t="s">
        <v>150</v>
      </c>
      <c r="W207" s="9">
        <v>0</v>
      </c>
      <c r="X207" s="9" t="s">
        <v>146</v>
      </c>
      <c r="Y207" s="9" t="s">
        <v>147</v>
      </c>
      <c r="Z207" s="9" t="s">
        <v>148</v>
      </c>
      <c r="AA207" s="9" t="s">
        <v>151</v>
      </c>
      <c r="AB207" s="12" t="s">
        <v>161</v>
      </c>
      <c r="AC207" s="9">
        <v>65</v>
      </c>
    </row>
    <row r="208" spans="1:29" ht="22.5" customHeight="1">
      <c r="A208" s="9" t="s">
        <v>29</v>
      </c>
      <c r="B208" s="9" t="s">
        <v>479</v>
      </c>
      <c r="C208" s="9" t="s">
        <v>113</v>
      </c>
      <c r="D208" s="9" t="s">
        <v>76</v>
      </c>
      <c r="E208" s="9"/>
      <c r="F208" s="9" t="s">
        <v>33</v>
      </c>
      <c r="G208" s="9">
        <v>2</v>
      </c>
      <c r="H208" s="10"/>
      <c r="I208" s="9" t="s">
        <v>501</v>
      </c>
      <c r="J208" s="9" t="s">
        <v>481</v>
      </c>
      <c r="K208" s="9"/>
      <c r="L208" s="9"/>
      <c r="M208" s="10" t="s">
        <v>482</v>
      </c>
      <c r="N208" s="10" t="str">
        <f>IFERROR(VLOOKUP(M208,[1]DESC!A:B,2,FALSE),"")</f>
        <v/>
      </c>
      <c r="O208" s="9" t="s">
        <v>116</v>
      </c>
      <c r="P208" s="9" t="s">
        <v>117</v>
      </c>
      <c r="Q208" s="9" t="s">
        <v>118</v>
      </c>
      <c r="R208" s="9" t="s">
        <v>146</v>
      </c>
      <c r="S208" s="9" t="s">
        <v>147</v>
      </c>
      <c r="T208" s="11" t="s">
        <v>148</v>
      </c>
      <c r="U208" s="12" t="s">
        <v>149</v>
      </c>
      <c r="V208" s="12" t="s">
        <v>150</v>
      </c>
      <c r="W208" s="9">
        <v>0</v>
      </c>
      <c r="X208" s="9" t="s">
        <v>146</v>
      </c>
      <c r="Y208" s="9" t="s">
        <v>147</v>
      </c>
      <c r="Z208" s="9" t="s">
        <v>148</v>
      </c>
      <c r="AA208" s="9" t="s">
        <v>151</v>
      </c>
      <c r="AB208" s="12" t="s">
        <v>161</v>
      </c>
      <c r="AC208" s="9">
        <v>65</v>
      </c>
    </row>
    <row r="209" spans="1:29" ht="22.5" customHeight="1">
      <c r="A209" s="9" t="s">
        <v>29</v>
      </c>
      <c r="B209" s="9" t="s">
        <v>479</v>
      </c>
      <c r="C209" s="9" t="s">
        <v>113</v>
      </c>
      <c r="D209" s="9" t="s">
        <v>76</v>
      </c>
      <c r="E209" s="9"/>
      <c r="F209" s="9" t="s">
        <v>33</v>
      </c>
      <c r="G209" s="9">
        <v>2</v>
      </c>
      <c r="H209" s="10"/>
      <c r="I209" s="9" t="s">
        <v>502</v>
      </c>
      <c r="J209" s="9" t="s">
        <v>481</v>
      </c>
      <c r="K209" s="9"/>
      <c r="L209" s="9"/>
      <c r="M209" s="10" t="s">
        <v>482</v>
      </c>
      <c r="N209" s="10" t="str">
        <f>IFERROR(VLOOKUP(M209,[1]DESC!A:B,2,FALSE),"")</f>
        <v/>
      </c>
      <c r="O209" s="9" t="s">
        <v>116</v>
      </c>
      <c r="P209" s="9" t="s">
        <v>117</v>
      </c>
      <c r="Q209" s="9" t="s">
        <v>118</v>
      </c>
      <c r="R209" s="9" t="s">
        <v>146</v>
      </c>
      <c r="S209" s="9" t="s">
        <v>147</v>
      </c>
      <c r="T209" s="11" t="s">
        <v>148</v>
      </c>
      <c r="U209" s="12" t="s">
        <v>149</v>
      </c>
      <c r="V209" s="12" t="s">
        <v>150</v>
      </c>
      <c r="W209" s="9">
        <v>0</v>
      </c>
      <c r="X209" s="9" t="s">
        <v>146</v>
      </c>
      <c r="Y209" s="9" t="s">
        <v>147</v>
      </c>
      <c r="Z209" s="9" t="s">
        <v>148</v>
      </c>
      <c r="AA209" s="9" t="s">
        <v>151</v>
      </c>
      <c r="AB209" s="12" t="s">
        <v>161</v>
      </c>
      <c r="AC209" s="9">
        <v>65</v>
      </c>
    </row>
    <row r="210" spans="1:29" ht="22.5" customHeight="1">
      <c r="A210" s="9" t="s">
        <v>29</v>
      </c>
      <c r="B210" s="9" t="s">
        <v>479</v>
      </c>
      <c r="C210" s="9" t="s">
        <v>113</v>
      </c>
      <c r="D210" s="9" t="s">
        <v>76</v>
      </c>
      <c r="E210" s="9"/>
      <c r="F210" s="9" t="s">
        <v>33</v>
      </c>
      <c r="G210" s="9">
        <v>2</v>
      </c>
      <c r="H210" s="10"/>
      <c r="I210" s="9" t="s">
        <v>188</v>
      </c>
      <c r="J210" s="9" t="s">
        <v>481</v>
      </c>
      <c r="K210" s="9"/>
      <c r="L210" s="9"/>
      <c r="M210" s="10" t="s">
        <v>482</v>
      </c>
      <c r="N210" s="10" t="str">
        <f>IFERROR(VLOOKUP(M210,[1]DESC!A:B,2,FALSE),"")</f>
        <v/>
      </c>
      <c r="O210" s="9" t="s">
        <v>116</v>
      </c>
      <c r="P210" s="9" t="s">
        <v>117</v>
      </c>
      <c r="Q210" s="9" t="s">
        <v>118</v>
      </c>
      <c r="R210" s="9" t="s">
        <v>146</v>
      </c>
      <c r="S210" s="9" t="s">
        <v>147</v>
      </c>
      <c r="T210" s="11" t="s">
        <v>148</v>
      </c>
      <c r="U210" s="12" t="s">
        <v>149</v>
      </c>
      <c r="V210" s="12" t="s">
        <v>150</v>
      </c>
      <c r="W210" s="9">
        <v>0</v>
      </c>
      <c r="X210" s="9" t="s">
        <v>146</v>
      </c>
      <c r="Y210" s="9" t="s">
        <v>147</v>
      </c>
      <c r="Z210" s="9" t="s">
        <v>148</v>
      </c>
      <c r="AA210" s="9" t="s">
        <v>151</v>
      </c>
      <c r="AB210" s="12" t="s">
        <v>161</v>
      </c>
      <c r="AC210" s="9">
        <v>65</v>
      </c>
    </row>
    <row r="211" spans="1:29" ht="22.5" customHeight="1">
      <c r="A211" s="9" t="s">
        <v>29</v>
      </c>
      <c r="B211" s="9" t="s">
        <v>479</v>
      </c>
      <c r="C211" s="9" t="s">
        <v>113</v>
      </c>
      <c r="D211" s="9" t="s">
        <v>76</v>
      </c>
      <c r="E211" s="9"/>
      <c r="F211" s="9" t="s">
        <v>33</v>
      </c>
      <c r="G211" s="9">
        <v>2</v>
      </c>
      <c r="H211" s="10"/>
      <c r="I211" s="9" t="s">
        <v>201</v>
      </c>
      <c r="J211" s="9" t="s">
        <v>481</v>
      </c>
      <c r="K211" s="9"/>
      <c r="L211" s="9"/>
      <c r="M211" s="10" t="s">
        <v>482</v>
      </c>
      <c r="N211" s="10" t="str">
        <f>IFERROR(VLOOKUP(M211,[1]DESC!A:B,2,FALSE),"")</f>
        <v/>
      </c>
      <c r="O211" s="9" t="s">
        <v>116</v>
      </c>
      <c r="P211" s="9" t="s">
        <v>117</v>
      </c>
      <c r="Q211" s="9" t="s">
        <v>118</v>
      </c>
      <c r="R211" s="9" t="s">
        <v>146</v>
      </c>
      <c r="S211" s="9" t="s">
        <v>147</v>
      </c>
      <c r="T211" s="11" t="s">
        <v>148</v>
      </c>
      <c r="U211" s="12" t="s">
        <v>149</v>
      </c>
      <c r="V211" s="12" t="s">
        <v>150</v>
      </c>
      <c r="W211" s="9">
        <v>0</v>
      </c>
      <c r="X211" s="9" t="s">
        <v>146</v>
      </c>
      <c r="Y211" s="9" t="s">
        <v>147</v>
      </c>
      <c r="Z211" s="9" t="s">
        <v>148</v>
      </c>
      <c r="AA211" s="9" t="s">
        <v>151</v>
      </c>
      <c r="AB211" s="12" t="s">
        <v>161</v>
      </c>
      <c r="AC211" s="9">
        <v>65</v>
      </c>
    </row>
    <row r="212" spans="1:29" ht="22.5" customHeight="1">
      <c r="A212" s="9" t="s">
        <v>29</v>
      </c>
      <c r="B212" s="9" t="s">
        <v>479</v>
      </c>
      <c r="C212" s="9" t="s">
        <v>113</v>
      </c>
      <c r="D212" s="9" t="s">
        <v>76</v>
      </c>
      <c r="E212" s="9"/>
      <c r="F212" s="9" t="s">
        <v>33</v>
      </c>
      <c r="G212" s="9">
        <v>2</v>
      </c>
      <c r="H212" s="10"/>
      <c r="I212" s="9" t="s">
        <v>503</v>
      </c>
      <c r="J212" s="9" t="s">
        <v>481</v>
      </c>
      <c r="K212" s="9"/>
      <c r="L212" s="9"/>
      <c r="M212" s="10" t="s">
        <v>482</v>
      </c>
      <c r="N212" s="10" t="str">
        <f>IFERROR(VLOOKUP(M212,[1]DESC!A:B,2,FALSE),"")</f>
        <v/>
      </c>
      <c r="O212" s="9" t="s">
        <v>116</v>
      </c>
      <c r="P212" s="9" t="s">
        <v>117</v>
      </c>
      <c r="Q212" s="9" t="s">
        <v>118</v>
      </c>
      <c r="R212" s="9" t="s">
        <v>146</v>
      </c>
      <c r="S212" s="9" t="s">
        <v>147</v>
      </c>
      <c r="T212" s="11" t="s">
        <v>148</v>
      </c>
      <c r="U212" s="12" t="s">
        <v>149</v>
      </c>
      <c r="V212" s="12" t="s">
        <v>150</v>
      </c>
      <c r="W212" s="9">
        <v>0</v>
      </c>
      <c r="X212" s="9" t="s">
        <v>146</v>
      </c>
      <c r="Y212" s="9" t="s">
        <v>147</v>
      </c>
      <c r="Z212" s="9" t="s">
        <v>148</v>
      </c>
      <c r="AA212" s="9" t="s">
        <v>151</v>
      </c>
      <c r="AB212" s="12" t="s">
        <v>161</v>
      </c>
      <c r="AC212" s="9">
        <v>65</v>
      </c>
    </row>
    <row r="213" spans="1:29" ht="22.5" customHeight="1">
      <c r="A213" s="9" t="s">
        <v>29</v>
      </c>
      <c r="B213" s="9" t="s">
        <v>479</v>
      </c>
      <c r="C213" s="9" t="s">
        <v>113</v>
      </c>
      <c r="D213" s="9" t="s">
        <v>76</v>
      </c>
      <c r="E213" s="9"/>
      <c r="F213" s="9" t="s">
        <v>33</v>
      </c>
      <c r="G213" s="9">
        <v>2</v>
      </c>
      <c r="H213" s="10"/>
      <c r="I213" s="9" t="s">
        <v>504</v>
      </c>
      <c r="J213" s="9" t="s">
        <v>481</v>
      </c>
      <c r="K213" s="9"/>
      <c r="L213" s="9"/>
      <c r="M213" s="10" t="s">
        <v>482</v>
      </c>
      <c r="N213" s="10" t="str">
        <f>IFERROR(VLOOKUP(M213,[1]DESC!A:B,2,FALSE),"")</f>
        <v/>
      </c>
      <c r="O213" s="9" t="s">
        <v>116</v>
      </c>
      <c r="P213" s="9" t="s">
        <v>117</v>
      </c>
      <c r="Q213" s="9" t="s">
        <v>118</v>
      </c>
      <c r="R213" s="9" t="s">
        <v>146</v>
      </c>
      <c r="S213" s="9" t="s">
        <v>147</v>
      </c>
      <c r="T213" s="11" t="s">
        <v>148</v>
      </c>
      <c r="U213" s="12" t="s">
        <v>149</v>
      </c>
      <c r="V213" s="12" t="s">
        <v>150</v>
      </c>
      <c r="W213" s="9">
        <v>0</v>
      </c>
      <c r="X213" s="9" t="s">
        <v>146</v>
      </c>
      <c r="Y213" s="9" t="s">
        <v>147</v>
      </c>
      <c r="Z213" s="9" t="s">
        <v>148</v>
      </c>
      <c r="AA213" s="9" t="s">
        <v>151</v>
      </c>
      <c r="AB213" s="12" t="s">
        <v>161</v>
      </c>
      <c r="AC213" s="9">
        <v>65</v>
      </c>
    </row>
    <row r="214" spans="1:29" ht="22.5" customHeight="1">
      <c r="A214" s="9" t="s">
        <v>29</v>
      </c>
      <c r="B214" s="9" t="s">
        <v>479</v>
      </c>
      <c r="C214" s="9" t="s">
        <v>113</v>
      </c>
      <c r="D214" s="9" t="s">
        <v>76</v>
      </c>
      <c r="E214" s="9"/>
      <c r="F214" s="9" t="s">
        <v>33</v>
      </c>
      <c r="G214" s="9">
        <v>2</v>
      </c>
      <c r="H214" s="10"/>
      <c r="I214" s="9" t="s">
        <v>198</v>
      </c>
      <c r="J214" s="9" t="s">
        <v>481</v>
      </c>
      <c r="K214" s="9"/>
      <c r="L214" s="9"/>
      <c r="M214" s="10" t="s">
        <v>482</v>
      </c>
      <c r="N214" s="10" t="str">
        <f>IFERROR(VLOOKUP(M214,[1]DESC!A:B,2,FALSE),"")</f>
        <v/>
      </c>
      <c r="O214" s="9" t="s">
        <v>116</v>
      </c>
      <c r="P214" s="9" t="s">
        <v>117</v>
      </c>
      <c r="Q214" s="9" t="s">
        <v>118</v>
      </c>
      <c r="R214" s="9" t="s">
        <v>146</v>
      </c>
      <c r="S214" s="9" t="s">
        <v>147</v>
      </c>
      <c r="T214" s="11" t="s">
        <v>148</v>
      </c>
      <c r="U214" s="12" t="s">
        <v>149</v>
      </c>
      <c r="V214" s="12" t="s">
        <v>150</v>
      </c>
      <c r="W214" s="9">
        <v>0</v>
      </c>
      <c r="X214" s="9" t="s">
        <v>146</v>
      </c>
      <c r="Y214" s="9" t="s">
        <v>147</v>
      </c>
      <c r="Z214" s="9" t="s">
        <v>148</v>
      </c>
      <c r="AA214" s="9" t="s">
        <v>151</v>
      </c>
      <c r="AB214" s="12" t="s">
        <v>161</v>
      </c>
      <c r="AC214" s="9">
        <v>65</v>
      </c>
    </row>
    <row r="215" spans="1:29" ht="22.5" customHeight="1">
      <c r="A215" s="9" t="s">
        <v>29</v>
      </c>
      <c r="B215" s="9" t="s">
        <v>479</v>
      </c>
      <c r="C215" s="9" t="s">
        <v>113</v>
      </c>
      <c r="D215" s="9" t="s">
        <v>76</v>
      </c>
      <c r="E215" s="9"/>
      <c r="F215" s="9" t="s">
        <v>33</v>
      </c>
      <c r="G215" s="9">
        <v>2</v>
      </c>
      <c r="H215" s="10"/>
      <c r="I215" s="9" t="s">
        <v>200</v>
      </c>
      <c r="J215" s="9" t="s">
        <v>481</v>
      </c>
      <c r="K215" s="9"/>
      <c r="L215" s="9"/>
      <c r="M215" s="10" t="s">
        <v>482</v>
      </c>
      <c r="N215" s="10" t="str">
        <f>IFERROR(VLOOKUP(M215,[1]DESC!A:B,2,FALSE),"")</f>
        <v/>
      </c>
      <c r="O215" s="9" t="s">
        <v>116</v>
      </c>
      <c r="P215" s="9" t="s">
        <v>117</v>
      </c>
      <c r="Q215" s="9" t="s">
        <v>118</v>
      </c>
      <c r="R215" s="9" t="s">
        <v>146</v>
      </c>
      <c r="S215" s="9" t="s">
        <v>147</v>
      </c>
      <c r="T215" s="11" t="s">
        <v>148</v>
      </c>
      <c r="U215" s="12" t="s">
        <v>149</v>
      </c>
      <c r="V215" s="12" t="s">
        <v>150</v>
      </c>
      <c r="W215" s="9">
        <v>0</v>
      </c>
      <c r="X215" s="9" t="s">
        <v>146</v>
      </c>
      <c r="Y215" s="9" t="s">
        <v>147</v>
      </c>
      <c r="Z215" s="9" t="s">
        <v>148</v>
      </c>
      <c r="AA215" s="9" t="s">
        <v>151</v>
      </c>
      <c r="AB215" s="12" t="s">
        <v>161</v>
      </c>
      <c r="AC215" s="9">
        <v>65</v>
      </c>
    </row>
    <row r="216" spans="1:29" ht="22.5" customHeight="1">
      <c r="A216" s="9" t="s">
        <v>29</v>
      </c>
      <c r="B216" s="9" t="s">
        <v>479</v>
      </c>
      <c r="C216" s="9" t="s">
        <v>113</v>
      </c>
      <c r="D216" s="9" t="s">
        <v>76</v>
      </c>
      <c r="E216" s="9"/>
      <c r="F216" s="9" t="s">
        <v>33</v>
      </c>
      <c r="G216" s="9">
        <v>2</v>
      </c>
      <c r="H216" s="10"/>
      <c r="I216" s="9" t="s">
        <v>184</v>
      </c>
      <c r="J216" s="9" t="s">
        <v>481</v>
      </c>
      <c r="K216" s="9"/>
      <c r="L216" s="9"/>
      <c r="M216" s="10" t="s">
        <v>482</v>
      </c>
      <c r="N216" s="10" t="str">
        <f>IFERROR(VLOOKUP(M216,[1]DESC!A:B,2,FALSE),"")</f>
        <v/>
      </c>
      <c r="O216" s="9" t="s">
        <v>116</v>
      </c>
      <c r="P216" s="9" t="s">
        <v>117</v>
      </c>
      <c r="Q216" s="9" t="s">
        <v>118</v>
      </c>
      <c r="R216" s="9" t="s">
        <v>146</v>
      </c>
      <c r="S216" s="9" t="s">
        <v>147</v>
      </c>
      <c r="T216" s="11" t="s">
        <v>148</v>
      </c>
      <c r="U216" s="12" t="s">
        <v>149</v>
      </c>
      <c r="V216" s="12" t="s">
        <v>150</v>
      </c>
      <c r="W216" s="9">
        <v>0</v>
      </c>
      <c r="X216" s="9" t="s">
        <v>146</v>
      </c>
      <c r="Y216" s="9" t="s">
        <v>147</v>
      </c>
      <c r="Z216" s="9" t="s">
        <v>148</v>
      </c>
      <c r="AA216" s="9" t="s">
        <v>151</v>
      </c>
      <c r="AB216" s="12" t="s">
        <v>161</v>
      </c>
      <c r="AC216" s="9">
        <v>65</v>
      </c>
    </row>
    <row r="217" spans="1:29" ht="22.5" customHeight="1">
      <c r="A217" s="9" t="s">
        <v>29</v>
      </c>
      <c r="B217" s="9" t="s">
        <v>479</v>
      </c>
      <c r="C217" s="9" t="s">
        <v>113</v>
      </c>
      <c r="D217" s="9" t="s">
        <v>76</v>
      </c>
      <c r="E217" s="9"/>
      <c r="F217" s="9" t="s">
        <v>33</v>
      </c>
      <c r="G217" s="9">
        <v>2</v>
      </c>
      <c r="H217" s="10"/>
      <c r="I217" s="9" t="s">
        <v>505</v>
      </c>
      <c r="J217" s="9" t="s">
        <v>481</v>
      </c>
      <c r="K217" s="9"/>
      <c r="L217" s="9"/>
      <c r="M217" s="10" t="s">
        <v>482</v>
      </c>
      <c r="N217" s="10" t="str">
        <f>IFERROR(VLOOKUP(M217,[1]DESC!A:B,2,FALSE),"")</f>
        <v/>
      </c>
      <c r="O217" s="9" t="s">
        <v>116</v>
      </c>
      <c r="P217" s="9" t="s">
        <v>117</v>
      </c>
      <c r="Q217" s="9" t="s">
        <v>118</v>
      </c>
      <c r="R217" s="9" t="s">
        <v>146</v>
      </c>
      <c r="S217" s="9" t="s">
        <v>147</v>
      </c>
      <c r="T217" s="11" t="s">
        <v>148</v>
      </c>
      <c r="U217" s="12" t="s">
        <v>149</v>
      </c>
      <c r="V217" s="12" t="s">
        <v>150</v>
      </c>
      <c r="W217" s="9">
        <v>0</v>
      </c>
      <c r="X217" s="9" t="s">
        <v>146</v>
      </c>
      <c r="Y217" s="9" t="s">
        <v>147</v>
      </c>
      <c r="Z217" s="9" t="s">
        <v>148</v>
      </c>
      <c r="AA217" s="9" t="s">
        <v>151</v>
      </c>
      <c r="AB217" s="12" t="s">
        <v>161</v>
      </c>
      <c r="AC217" s="9">
        <v>65</v>
      </c>
    </row>
    <row r="218" spans="1:29" ht="22.5" customHeight="1">
      <c r="A218" s="9" t="s">
        <v>29</v>
      </c>
      <c r="B218" s="9" t="s">
        <v>479</v>
      </c>
      <c r="C218" s="9" t="s">
        <v>113</v>
      </c>
      <c r="D218" s="9" t="s">
        <v>76</v>
      </c>
      <c r="E218" s="9"/>
      <c r="F218" s="9" t="s">
        <v>33</v>
      </c>
      <c r="G218" s="9">
        <v>2</v>
      </c>
      <c r="H218" s="10"/>
      <c r="I218" s="9" t="s">
        <v>506</v>
      </c>
      <c r="J218" s="9" t="s">
        <v>481</v>
      </c>
      <c r="K218" s="9"/>
      <c r="L218" s="9"/>
      <c r="M218" s="10" t="s">
        <v>482</v>
      </c>
      <c r="N218" s="10" t="str">
        <f>IFERROR(VLOOKUP(M218,[1]DESC!A:B,2,FALSE),"")</f>
        <v/>
      </c>
      <c r="O218" s="9" t="s">
        <v>116</v>
      </c>
      <c r="P218" s="9" t="s">
        <v>117</v>
      </c>
      <c r="Q218" s="9" t="s">
        <v>118</v>
      </c>
      <c r="R218" s="9" t="s">
        <v>146</v>
      </c>
      <c r="S218" s="9" t="s">
        <v>147</v>
      </c>
      <c r="T218" s="11" t="s">
        <v>148</v>
      </c>
      <c r="U218" s="12" t="s">
        <v>149</v>
      </c>
      <c r="V218" s="12" t="s">
        <v>150</v>
      </c>
      <c r="W218" s="9">
        <v>0</v>
      </c>
      <c r="X218" s="9" t="s">
        <v>146</v>
      </c>
      <c r="Y218" s="9" t="s">
        <v>147</v>
      </c>
      <c r="Z218" s="9" t="s">
        <v>148</v>
      </c>
      <c r="AA218" s="9" t="s">
        <v>151</v>
      </c>
      <c r="AB218" s="12" t="s">
        <v>161</v>
      </c>
      <c r="AC218" s="9">
        <v>65</v>
      </c>
    </row>
    <row r="219" spans="1:29" ht="22.5" customHeight="1">
      <c r="A219" s="9" t="s">
        <v>29</v>
      </c>
      <c r="B219" s="9" t="s">
        <v>479</v>
      </c>
      <c r="C219" s="9" t="s">
        <v>113</v>
      </c>
      <c r="D219" s="9" t="s">
        <v>76</v>
      </c>
      <c r="E219" s="9"/>
      <c r="F219" s="9" t="s">
        <v>33</v>
      </c>
      <c r="G219" s="9">
        <v>2</v>
      </c>
      <c r="H219" s="10"/>
      <c r="I219" s="9" t="s">
        <v>507</v>
      </c>
      <c r="J219" s="9" t="s">
        <v>481</v>
      </c>
      <c r="K219" s="9"/>
      <c r="L219" s="9"/>
      <c r="M219" s="10" t="s">
        <v>482</v>
      </c>
      <c r="N219" s="10" t="str">
        <f>IFERROR(VLOOKUP(M219,[1]DESC!A:B,2,FALSE),"")</f>
        <v/>
      </c>
      <c r="O219" s="9" t="s">
        <v>116</v>
      </c>
      <c r="P219" s="9" t="s">
        <v>117</v>
      </c>
      <c r="Q219" s="9" t="s">
        <v>118</v>
      </c>
      <c r="R219" s="9" t="s">
        <v>146</v>
      </c>
      <c r="S219" s="9" t="s">
        <v>147</v>
      </c>
      <c r="T219" s="11" t="s">
        <v>148</v>
      </c>
      <c r="U219" s="12" t="s">
        <v>149</v>
      </c>
      <c r="V219" s="12" t="s">
        <v>150</v>
      </c>
      <c r="W219" s="9">
        <v>0</v>
      </c>
      <c r="X219" s="9" t="s">
        <v>146</v>
      </c>
      <c r="Y219" s="9" t="s">
        <v>147</v>
      </c>
      <c r="Z219" s="9" t="s">
        <v>148</v>
      </c>
      <c r="AA219" s="9" t="s">
        <v>151</v>
      </c>
      <c r="AB219" s="12" t="s">
        <v>161</v>
      </c>
      <c r="AC219" s="9">
        <v>65</v>
      </c>
    </row>
    <row r="220" spans="1:29" ht="22.5" customHeight="1">
      <c r="A220" s="9" t="s">
        <v>29</v>
      </c>
      <c r="B220" s="9" t="s">
        <v>479</v>
      </c>
      <c r="C220" s="9" t="s">
        <v>113</v>
      </c>
      <c r="D220" s="9" t="s">
        <v>76</v>
      </c>
      <c r="E220" s="9"/>
      <c r="F220" s="9" t="s">
        <v>33</v>
      </c>
      <c r="G220" s="9">
        <v>2</v>
      </c>
      <c r="H220" s="10"/>
      <c r="I220" s="9" t="s">
        <v>508</v>
      </c>
      <c r="J220" s="9" t="s">
        <v>481</v>
      </c>
      <c r="K220" s="9"/>
      <c r="L220" s="9"/>
      <c r="M220" s="10" t="s">
        <v>482</v>
      </c>
      <c r="N220" s="10" t="str">
        <f>IFERROR(VLOOKUP(M220,[1]DESC!A:B,2,FALSE),"")</f>
        <v/>
      </c>
      <c r="O220" s="9" t="s">
        <v>116</v>
      </c>
      <c r="P220" s="9" t="s">
        <v>117</v>
      </c>
      <c r="Q220" s="9" t="s">
        <v>118</v>
      </c>
      <c r="R220" s="9" t="s">
        <v>146</v>
      </c>
      <c r="S220" s="9" t="s">
        <v>147</v>
      </c>
      <c r="T220" s="11" t="s">
        <v>148</v>
      </c>
      <c r="U220" s="12" t="s">
        <v>149</v>
      </c>
      <c r="V220" s="12" t="s">
        <v>150</v>
      </c>
      <c r="W220" s="9">
        <v>0</v>
      </c>
      <c r="X220" s="9" t="s">
        <v>146</v>
      </c>
      <c r="Y220" s="9" t="s">
        <v>147</v>
      </c>
      <c r="Z220" s="9" t="s">
        <v>148</v>
      </c>
      <c r="AA220" s="9" t="s">
        <v>151</v>
      </c>
      <c r="AB220" s="12" t="s">
        <v>161</v>
      </c>
      <c r="AC220" s="9">
        <v>65</v>
      </c>
    </row>
    <row r="221" spans="1:29" ht="22.5" customHeight="1">
      <c r="A221" s="9" t="s">
        <v>29</v>
      </c>
      <c r="B221" s="9" t="s">
        <v>479</v>
      </c>
      <c r="C221" s="9" t="s">
        <v>113</v>
      </c>
      <c r="D221" s="9" t="s">
        <v>76</v>
      </c>
      <c r="E221" s="9"/>
      <c r="F221" s="9" t="s">
        <v>33</v>
      </c>
      <c r="G221" s="9">
        <v>2</v>
      </c>
      <c r="H221" s="10"/>
      <c r="I221" s="9" t="s">
        <v>509</v>
      </c>
      <c r="J221" s="9" t="s">
        <v>481</v>
      </c>
      <c r="K221" s="9"/>
      <c r="L221" s="9"/>
      <c r="M221" s="10" t="s">
        <v>482</v>
      </c>
      <c r="N221" s="10" t="str">
        <f>IFERROR(VLOOKUP(M221,[1]DESC!A:B,2,FALSE),"")</f>
        <v/>
      </c>
      <c r="O221" s="9" t="s">
        <v>116</v>
      </c>
      <c r="P221" s="9" t="s">
        <v>117</v>
      </c>
      <c r="Q221" s="9" t="s">
        <v>118</v>
      </c>
      <c r="R221" s="9" t="s">
        <v>146</v>
      </c>
      <c r="S221" s="9" t="s">
        <v>147</v>
      </c>
      <c r="T221" s="11" t="s">
        <v>148</v>
      </c>
      <c r="U221" s="12" t="s">
        <v>149</v>
      </c>
      <c r="V221" s="12" t="s">
        <v>150</v>
      </c>
      <c r="W221" s="9">
        <v>0</v>
      </c>
      <c r="X221" s="9" t="s">
        <v>146</v>
      </c>
      <c r="Y221" s="9" t="s">
        <v>147</v>
      </c>
      <c r="Z221" s="9" t="s">
        <v>148</v>
      </c>
      <c r="AA221" s="9" t="s">
        <v>151</v>
      </c>
      <c r="AB221" s="12" t="s">
        <v>161</v>
      </c>
      <c r="AC221" s="9">
        <v>65</v>
      </c>
    </row>
    <row r="222" spans="1:29" ht="22.5" customHeight="1">
      <c r="A222" s="9" t="s">
        <v>29</v>
      </c>
      <c r="B222" s="9" t="s">
        <v>479</v>
      </c>
      <c r="C222" s="9" t="s">
        <v>113</v>
      </c>
      <c r="D222" s="9" t="s">
        <v>76</v>
      </c>
      <c r="E222" s="9"/>
      <c r="F222" s="9" t="s">
        <v>33</v>
      </c>
      <c r="G222" s="9">
        <v>2</v>
      </c>
      <c r="H222" s="10"/>
      <c r="I222" s="9" t="s">
        <v>194</v>
      </c>
      <c r="J222" s="9" t="s">
        <v>481</v>
      </c>
      <c r="K222" s="9"/>
      <c r="L222" s="9"/>
      <c r="M222" s="10" t="s">
        <v>482</v>
      </c>
      <c r="N222" s="10" t="str">
        <f>IFERROR(VLOOKUP(M222,[1]DESC!A:B,2,FALSE),"")</f>
        <v/>
      </c>
      <c r="O222" s="9" t="s">
        <v>116</v>
      </c>
      <c r="P222" s="9" t="s">
        <v>117</v>
      </c>
      <c r="Q222" s="9" t="s">
        <v>118</v>
      </c>
      <c r="R222" s="9" t="s">
        <v>146</v>
      </c>
      <c r="S222" s="9" t="s">
        <v>147</v>
      </c>
      <c r="T222" s="11" t="s">
        <v>148</v>
      </c>
      <c r="U222" s="12" t="s">
        <v>149</v>
      </c>
      <c r="V222" s="12" t="s">
        <v>150</v>
      </c>
      <c r="W222" s="9">
        <v>0</v>
      </c>
      <c r="X222" s="9" t="s">
        <v>146</v>
      </c>
      <c r="Y222" s="9" t="s">
        <v>147</v>
      </c>
      <c r="Z222" s="9" t="s">
        <v>148</v>
      </c>
      <c r="AA222" s="9" t="s">
        <v>151</v>
      </c>
      <c r="AB222" s="12" t="s">
        <v>161</v>
      </c>
      <c r="AC222" s="9">
        <v>65</v>
      </c>
    </row>
    <row r="223" spans="1:29" ht="22.5" customHeight="1">
      <c r="A223" s="9" t="s">
        <v>29</v>
      </c>
      <c r="B223" s="9" t="s">
        <v>479</v>
      </c>
      <c r="C223" s="9" t="s">
        <v>113</v>
      </c>
      <c r="D223" s="9" t="s">
        <v>76</v>
      </c>
      <c r="E223" s="9"/>
      <c r="F223" s="9" t="s">
        <v>33</v>
      </c>
      <c r="G223" s="9">
        <v>2</v>
      </c>
      <c r="H223" s="10"/>
      <c r="I223" s="9" t="s">
        <v>199</v>
      </c>
      <c r="J223" s="9" t="s">
        <v>481</v>
      </c>
      <c r="K223" s="9"/>
      <c r="L223" s="9"/>
      <c r="M223" s="10" t="s">
        <v>482</v>
      </c>
      <c r="N223" s="10" t="str">
        <f>IFERROR(VLOOKUP(M223,[1]DESC!A:B,2,FALSE),"")</f>
        <v/>
      </c>
      <c r="O223" s="9" t="s">
        <v>116</v>
      </c>
      <c r="P223" s="9" t="s">
        <v>117</v>
      </c>
      <c r="Q223" s="9" t="s">
        <v>118</v>
      </c>
      <c r="R223" s="9" t="s">
        <v>146</v>
      </c>
      <c r="S223" s="9" t="s">
        <v>147</v>
      </c>
      <c r="T223" s="11" t="s">
        <v>148</v>
      </c>
      <c r="U223" s="12" t="s">
        <v>149</v>
      </c>
      <c r="V223" s="12" t="s">
        <v>150</v>
      </c>
      <c r="W223" s="9">
        <v>0</v>
      </c>
      <c r="X223" s="9" t="s">
        <v>146</v>
      </c>
      <c r="Y223" s="9" t="s">
        <v>147</v>
      </c>
      <c r="Z223" s="9" t="s">
        <v>148</v>
      </c>
      <c r="AA223" s="9" t="s">
        <v>151</v>
      </c>
      <c r="AB223" s="12" t="s">
        <v>161</v>
      </c>
      <c r="AC223" s="9">
        <v>65</v>
      </c>
    </row>
    <row r="224" spans="1:29" ht="22.5" customHeight="1">
      <c r="A224" s="9" t="s">
        <v>29</v>
      </c>
      <c r="B224" s="9" t="s">
        <v>222</v>
      </c>
      <c r="C224" s="9" t="s">
        <v>113</v>
      </c>
      <c r="D224" s="9" t="s">
        <v>76</v>
      </c>
      <c r="E224" s="9" t="s">
        <v>32</v>
      </c>
      <c r="F224" s="9" t="s">
        <v>33</v>
      </c>
      <c r="G224" s="9">
        <v>2</v>
      </c>
      <c r="H224" s="10"/>
      <c r="I224" s="9" t="s">
        <v>209</v>
      </c>
      <c r="J224" s="9" t="s">
        <v>481</v>
      </c>
      <c r="K224" s="9"/>
      <c r="L224" s="9"/>
      <c r="M224" s="10" t="s">
        <v>510</v>
      </c>
      <c r="N224" s="10" t="str">
        <f>IFERROR(VLOOKUP(M224,[1]DESC!A:B,2,FALSE),"")</f>
        <v/>
      </c>
      <c r="O224" s="9" t="s">
        <v>116</v>
      </c>
      <c r="P224" s="9" t="s">
        <v>117</v>
      </c>
      <c r="Q224" s="9" t="s">
        <v>118</v>
      </c>
      <c r="R224" s="9" t="s">
        <v>146</v>
      </c>
      <c r="S224" s="9" t="s">
        <v>147</v>
      </c>
      <c r="T224" s="11" t="s">
        <v>148</v>
      </c>
      <c r="U224" s="12" t="s">
        <v>149</v>
      </c>
      <c r="V224" s="12" t="s">
        <v>150</v>
      </c>
      <c r="W224" s="9">
        <v>0</v>
      </c>
      <c r="X224" s="9" t="s">
        <v>146</v>
      </c>
      <c r="Y224" s="9" t="s">
        <v>147</v>
      </c>
      <c r="Z224" s="9" t="s">
        <v>148</v>
      </c>
      <c r="AA224" s="9" t="s">
        <v>151</v>
      </c>
      <c r="AB224" s="12" t="s">
        <v>161</v>
      </c>
      <c r="AC224" s="9">
        <v>64</v>
      </c>
    </row>
    <row r="225" spans="1:29" ht="22.5" customHeight="1">
      <c r="A225" s="9" t="s">
        <v>29</v>
      </c>
      <c r="B225" s="9" t="s">
        <v>222</v>
      </c>
      <c r="C225" s="9" t="s">
        <v>113</v>
      </c>
      <c r="D225" s="9" t="s">
        <v>76</v>
      </c>
      <c r="E225" s="9" t="s">
        <v>32</v>
      </c>
      <c r="F225" s="9" t="s">
        <v>33</v>
      </c>
      <c r="G225" s="9">
        <v>2</v>
      </c>
      <c r="H225" s="10"/>
      <c r="I225" s="9" t="s">
        <v>196</v>
      </c>
      <c r="J225" s="9" t="s">
        <v>481</v>
      </c>
      <c r="K225" s="9"/>
      <c r="L225" s="9"/>
      <c r="M225" s="10" t="s">
        <v>510</v>
      </c>
      <c r="N225" s="10" t="str">
        <f>IFERROR(VLOOKUP(M225,[1]DESC!A:B,2,FALSE),"")</f>
        <v/>
      </c>
      <c r="O225" s="9" t="s">
        <v>116</v>
      </c>
      <c r="P225" s="9" t="s">
        <v>117</v>
      </c>
      <c r="Q225" s="9" t="s">
        <v>118</v>
      </c>
      <c r="R225" s="9" t="s">
        <v>146</v>
      </c>
      <c r="S225" s="9" t="s">
        <v>147</v>
      </c>
      <c r="T225" s="11" t="s">
        <v>148</v>
      </c>
      <c r="U225" s="12" t="s">
        <v>149</v>
      </c>
      <c r="V225" s="12" t="s">
        <v>150</v>
      </c>
      <c r="W225" s="9">
        <v>0</v>
      </c>
      <c r="X225" s="9" t="s">
        <v>146</v>
      </c>
      <c r="Y225" s="9" t="s">
        <v>147</v>
      </c>
      <c r="Z225" s="9" t="s">
        <v>148</v>
      </c>
      <c r="AA225" s="9" t="s">
        <v>151</v>
      </c>
      <c r="AB225" s="12" t="s">
        <v>161</v>
      </c>
      <c r="AC225" s="9">
        <v>64</v>
      </c>
    </row>
    <row r="226" spans="1:29" ht="22.5" customHeight="1">
      <c r="A226" s="9" t="s">
        <v>29</v>
      </c>
      <c r="B226" s="9" t="s">
        <v>222</v>
      </c>
      <c r="C226" s="9" t="s">
        <v>113</v>
      </c>
      <c r="D226" s="9" t="s">
        <v>76</v>
      </c>
      <c r="E226" s="9" t="s">
        <v>32</v>
      </c>
      <c r="F226" s="9" t="s">
        <v>33</v>
      </c>
      <c r="G226" s="9">
        <v>2</v>
      </c>
      <c r="H226" s="10"/>
      <c r="I226" s="9" t="s">
        <v>511</v>
      </c>
      <c r="J226" s="9" t="s">
        <v>481</v>
      </c>
      <c r="K226" s="9"/>
      <c r="L226" s="9"/>
      <c r="M226" s="10" t="s">
        <v>510</v>
      </c>
      <c r="N226" s="10" t="str">
        <f>IFERROR(VLOOKUP(M226,[1]DESC!A:B,2,FALSE),"")</f>
        <v/>
      </c>
      <c r="O226" s="9" t="s">
        <v>116</v>
      </c>
      <c r="P226" s="9" t="s">
        <v>117</v>
      </c>
      <c r="Q226" s="9" t="s">
        <v>118</v>
      </c>
      <c r="R226" s="9" t="s">
        <v>146</v>
      </c>
      <c r="S226" s="9" t="s">
        <v>147</v>
      </c>
      <c r="T226" s="11" t="s">
        <v>148</v>
      </c>
      <c r="U226" s="12" t="s">
        <v>149</v>
      </c>
      <c r="V226" s="12" t="s">
        <v>150</v>
      </c>
      <c r="W226" s="9">
        <v>0</v>
      </c>
      <c r="X226" s="9" t="s">
        <v>146</v>
      </c>
      <c r="Y226" s="9" t="s">
        <v>147</v>
      </c>
      <c r="Z226" s="9" t="s">
        <v>148</v>
      </c>
      <c r="AA226" s="9" t="s">
        <v>151</v>
      </c>
      <c r="AB226" s="12" t="s">
        <v>161</v>
      </c>
      <c r="AC226" s="9">
        <v>64</v>
      </c>
    </row>
    <row r="227" spans="1:29" ht="22.5" customHeight="1">
      <c r="A227" s="9" t="s">
        <v>29</v>
      </c>
      <c r="B227" s="9" t="s">
        <v>222</v>
      </c>
      <c r="C227" s="9" t="s">
        <v>113</v>
      </c>
      <c r="D227" s="9" t="s">
        <v>76</v>
      </c>
      <c r="E227" s="9" t="s">
        <v>32</v>
      </c>
      <c r="F227" s="9" t="s">
        <v>33</v>
      </c>
      <c r="G227" s="9">
        <v>2</v>
      </c>
      <c r="H227" s="10"/>
      <c r="I227" s="9" t="s">
        <v>199</v>
      </c>
      <c r="J227" s="9" t="s">
        <v>481</v>
      </c>
      <c r="K227" s="9"/>
      <c r="L227" s="9"/>
      <c r="M227" s="10" t="s">
        <v>510</v>
      </c>
      <c r="N227" s="10" t="str">
        <f>IFERROR(VLOOKUP(M227,[1]DESC!A:B,2,FALSE),"")</f>
        <v/>
      </c>
      <c r="O227" s="9" t="s">
        <v>116</v>
      </c>
      <c r="P227" s="9" t="s">
        <v>117</v>
      </c>
      <c r="Q227" s="9" t="s">
        <v>118</v>
      </c>
      <c r="R227" s="9" t="s">
        <v>146</v>
      </c>
      <c r="S227" s="9" t="s">
        <v>147</v>
      </c>
      <c r="T227" s="11" t="s">
        <v>148</v>
      </c>
      <c r="U227" s="12" t="s">
        <v>149</v>
      </c>
      <c r="V227" s="12" t="s">
        <v>150</v>
      </c>
      <c r="W227" s="9">
        <v>0</v>
      </c>
      <c r="X227" s="9" t="s">
        <v>146</v>
      </c>
      <c r="Y227" s="9" t="s">
        <v>147</v>
      </c>
      <c r="Z227" s="9" t="s">
        <v>148</v>
      </c>
      <c r="AA227" s="9" t="s">
        <v>151</v>
      </c>
      <c r="AB227" s="12" t="s">
        <v>161</v>
      </c>
      <c r="AC227" s="9">
        <v>64</v>
      </c>
    </row>
    <row r="228" spans="1:29" ht="22.5" customHeight="1">
      <c r="A228" s="9" t="s">
        <v>29</v>
      </c>
      <c r="B228" s="9" t="s">
        <v>222</v>
      </c>
      <c r="C228" s="9" t="s">
        <v>113</v>
      </c>
      <c r="D228" s="9" t="s">
        <v>76</v>
      </c>
      <c r="E228" s="9" t="s">
        <v>32</v>
      </c>
      <c r="F228" s="9" t="s">
        <v>33</v>
      </c>
      <c r="G228" s="9">
        <v>2</v>
      </c>
      <c r="H228" s="10"/>
      <c r="I228" s="9" t="s">
        <v>512</v>
      </c>
      <c r="J228" s="9" t="s">
        <v>481</v>
      </c>
      <c r="K228" s="9"/>
      <c r="L228" s="9"/>
      <c r="M228" s="10" t="s">
        <v>510</v>
      </c>
      <c r="N228" s="10" t="str">
        <f>IFERROR(VLOOKUP(M228,[1]DESC!A:B,2,FALSE),"")</f>
        <v/>
      </c>
      <c r="O228" s="9" t="s">
        <v>116</v>
      </c>
      <c r="P228" s="9" t="s">
        <v>117</v>
      </c>
      <c r="Q228" s="9" t="s">
        <v>118</v>
      </c>
      <c r="R228" s="9" t="s">
        <v>146</v>
      </c>
      <c r="S228" s="9" t="s">
        <v>147</v>
      </c>
      <c r="T228" s="11" t="s">
        <v>148</v>
      </c>
      <c r="U228" s="12" t="s">
        <v>149</v>
      </c>
      <c r="V228" s="12" t="s">
        <v>150</v>
      </c>
      <c r="W228" s="9">
        <v>0</v>
      </c>
      <c r="X228" s="9" t="s">
        <v>146</v>
      </c>
      <c r="Y228" s="9" t="s">
        <v>147</v>
      </c>
      <c r="Z228" s="9" t="s">
        <v>148</v>
      </c>
      <c r="AA228" s="9" t="s">
        <v>151</v>
      </c>
      <c r="AB228" s="12" t="s">
        <v>161</v>
      </c>
      <c r="AC228" s="9">
        <v>64</v>
      </c>
    </row>
    <row r="229" spans="1:29" ht="22.5" customHeight="1">
      <c r="A229" s="9" t="s">
        <v>29</v>
      </c>
      <c r="B229" s="9" t="s">
        <v>222</v>
      </c>
      <c r="C229" s="9" t="s">
        <v>113</v>
      </c>
      <c r="D229" s="9" t="s">
        <v>76</v>
      </c>
      <c r="E229" s="9" t="s">
        <v>32</v>
      </c>
      <c r="F229" s="9" t="s">
        <v>33</v>
      </c>
      <c r="G229" s="9">
        <v>2</v>
      </c>
      <c r="H229" s="10"/>
      <c r="I229" s="9" t="s">
        <v>484</v>
      </c>
      <c r="J229" s="9" t="s">
        <v>481</v>
      </c>
      <c r="K229" s="9"/>
      <c r="L229" s="9"/>
      <c r="M229" s="10" t="s">
        <v>510</v>
      </c>
      <c r="N229" s="10" t="str">
        <f>IFERROR(VLOOKUP(M229,[1]DESC!A:B,2,FALSE),"")</f>
        <v/>
      </c>
      <c r="O229" s="9" t="s">
        <v>116</v>
      </c>
      <c r="P229" s="9" t="s">
        <v>117</v>
      </c>
      <c r="Q229" s="9" t="s">
        <v>118</v>
      </c>
      <c r="R229" s="9" t="s">
        <v>146</v>
      </c>
      <c r="S229" s="9" t="s">
        <v>147</v>
      </c>
      <c r="T229" s="11" t="s">
        <v>148</v>
      </c>
      <c r="U229" s="12" t="s">
        <v>149</v>
      </c>
      <c r="V229" s="12" t="s">
        <v>150</v>
      </c>
      <c r="W229" s="9">
        <v>0</v>
      </c>
      <c r="X229" s="9" t="s">
        <v>146</v>
      </c>
      <c r="Y229" s="9" t="s">
        <v>147</v>
      </c>
      <c r="Z229" s="9" t="s">
        <v>148</v>
      </c>
      <c r="AA229" s="9" t="s">
        <v>151</v>
      </c>
      <c r="AB229" s="12" t="s">
        <v>161</v>
      </c>
      <c r="AC229" s="9">
        <v>64</v>
      </c>
    </row>
    <row r="230" spans="1:29" ht="22.5" customHeight="1">
      <c r="A230" s="9" t="s">
        <v>29</v>
      </c>
      <c r="B230" s="9" t="s">
        <v>222</v>
      </c>
      <c r="C230" s="9" t="s">
        <v>113</v>
      </c>
      <c r="D230" s="9" t="s">
        <v>76</v>
      </c>
      <c r="E230" s="9" t="s">
        <v>32</v>
      </c>
      <c r="F230" s="9" t="s">
        <v>33</v>
      </c>
      <c r="G230" s="9">
        <v>2</v>
      </c>
      <c r="H230" s="10"/>
      <c r="I230" s="9" t="s">
        <v>513</v>
      </c>
      <c r="J230" s="9" t="s">
        <v>481</v>
      </c>
      <c r="K230" s="9"/>
      <c r="L230" s="9"/>
      <c r="M230" s="10" t="s">
        <v>510</v>
      </c>
      <c r="N230" s="10" t="str">
        <f>IFERROR(VLOOKUP(M230,[1]DESC!A:B,2,FALSE),"")</f>
        <v/>
      </c>
      <c r="O230" s="9" t="s">
        <v>116</v>
      </c>
      <c r="P230" s="9" t="s">
        <v>117</v>
      </c>
      <c r="Q230" s="9" t="s">
        <v>118</v>
      </c>
      <c r="R230" s="9" t="s">
        <v>146</v>
      </c>
      <c r="S230" s="9" t="s">
        <v>147</v>
      </c>
      <c r="T230" s="11" t="s">
        <v>148</v>
      </c>
      <c r="U230" s="12" t="s">
        <v>149</v>
      </c>
      <c r="V230" s="12" t="s">
        <v>150</v>
      </c>
      <c r="W230" s="9">
        <v>0</v>
      </c>
      <c r="X230" s="9" t="s">
        <v>146</v>
      </c>
      <c r="Y230" s="9" t="s">
        <v>147</v>
      </c>
      <c r="Z230" s="9" t="s">
        <v>148</v>
      </c>
      <c r="AA230" s="9" t="s">
        <v>151</v>
      </c>
      <c r="AB230" s="12" t="s">
        <v>161</v>
      </c>
      <c r="AC230" s="9">
        <v>64</v>
      </c>
    </row>
    <row r="231" spans="1:29" ht="22.5" customHeight="1">
      <c r="A231" s="9" t="s">
        <v>29</v>
      </c>
      <c r="B231" s="9" t="s">
        <v>222</v>
      </c>
      <c r="C231" s="9" t="s">
        <v>113</v>
      </c>
      <c r="D231" s="9" t="s">
        <v>76</v>
      </c>
      <c r="E231" s="9" t="s">
        <v>32</v>
      </c>
      <c r="F231" s="9" t="s">
        <v>33</v>
      </c>
      <c r="G231" s="9">
        <v>2</v>
      </c>
      <c r="H231" s="10"/>
      <c r="I231" s="9" t="s">
        <v>289</v>
      </c>
      <c r="J231" s="9" t="s">
        <v>481</v>
      </c>
      <c r="K231" s="9"/>
      <c r="L231" s="9"/>
      <c r="M231" s="10" t="s">
        <v>510</v>
      </c>
      <c r="N231" s="10" t="str">
        <f>IFERROR(VLOOKUP(M231,[1]DESC!A:B,2,FALSE),"")</f>
        <v/>
      </c>
      <c r="O231" s="9" t="s">
        <v>116</v>
      </c>
      <c r="P231" s="9" t="s">
        <v>117</v>
      </c>
      <c r="Q231" s="9" t="s">
        <v>118</v>
      </c>
      <c r="R231" s="9" t="s">
        <v>146</v>
      </c>
      <c r="S231" s="9" t="s">
        <v>147</v>
      </c>
      <c r="T231" s="11" t="s">
        <v>148</v>
      </c>
      <c r="U231" s="12" t="s">
        <v>149</v>
      </c>
      <c r="V231" s="12" t="s">
        <v>150</v>
      </c>
      <c r="W231" s="9">
        <v>0</v>
      </c>
      <c r="X231" s="9" t="s">
        <v>146</v>
      </c>
      <c r="Y231" s="9" t="s">
        <v>147</v>
      </c>
      <c r="Z231" s="9" t="s">
        <v>148</v>
      </c>
      <c r="AA231" s="9" t="s">
        <v>151</v>
      </c>
      <c r="AB231" s="12" t="s">
        <v>161</v>
      </c>
      <c r="AC231" s="9">
        <v>64</v>
      </c>
    </row>
    <row r="232" spans="1:29" ht="22.5" customHeight="1">
      <c r="A232" s="9" t="s">
        <v>29</v>
      </c>
      <c r="B232" s="9" t="s">
        <v>222</v>
      </c>
      <c r="C232" s="9" t="s">
        <v>113</v>
      </c>
      <c r="D232" s="9" t="s">
        <v>76</v>
      </c>
      <c r="E232" s="9" t="s">
        <v>32</v>
      </c>
      <c r="F232" s="9" t="s">
        <v>33</v>
      </c>
      <c r="G232" s="9">
        <v>2</v>
      </c>
      <c r="H232" s="10"/>
      <c r="I232" s="9" t="s">
        <v>514</v>
      </c>
      <c r="J232" s="9" t="s">
        <v>481</v>
      </c>
      <c r="K232" s="9"/>
      <c r="L232" s="9"/>
      <c r="M232" s="10" t="s">
        <v>510</v>
      </c>
      <c r="N232" s="10" t="str">
        <f>IFERROR(VLOOKUP(M232,[1]DESC!A:B,2,FALSE),"")</f>
        <v/>
      </c>
      <c r="O232" s="9" t="s">
        <v>116</v>
      </c>
      <c r="P232" s="9" t="s">
        <v>117</v>
      </c>
      <c r="Q232" s="9" t="s">
        <v>118</v>
      </c>
      <c r="R232" s="9" t="s">
        <v>146</v>
      </c>
      <c r="S232" s="9" t="s">
        <v>147</v>
      </c>
      <c r="T232" s="11" t="s">
        <v>148</v>
      </c>
      <c r="U232" s="12" t="s">
        <v>149</v>
      </c>
      <c r="V232" s="12" t="s">
        <v>150</v>
      </c>
      <c r="W232" s="9">
        <v>0</v>
      </c>
      <c r="X232" s="9" t="s">
        <v>146</v>
      </c>
      <c r="Y232" s="9" t="s">
        <v>147</v>
      </c>
      <c r="Z232" s="9" t="s">
        <v>148</v>
      </c>
      <c r="AA232" s="9" t="s">
        <v>151</v>
      </c>
      <c r="AB232" s="12" t="s">
        <v>161</v>
      </c>
      <c r="AC232" s="9">
        <v>64</v>
      </c>
    </row>
    <row r="233" spans="1:29" ht="22.5" customHeight="1">
      <c r="A233" s="9" t="s">
        <v>29</v>
      </c>
      <c r="B233" s="9" t="s">
        <v>222</v>
      </c>
      <c r="C233" s="9" t="s">
        <v>113</v>
      </c>
      <c r="D233" s="9" t="s">
        <v>76</v>
      </c>
      <c r="E233" s="9" t="s">
        <v>32</v>
      </c>
      <c r="F233" s="9" t="s">
        <v>33</v>
      </c>
      <c r="G233" s="9">
        <v>2</v>
      </c>
      <c r="H233" s="10"/>
      <c r="I233" s="9" t="s">
        <v>488</v>
      </c>
      <c r="J233" s="9" t="s">
        <v>481</v>
      </c>
      <c r="K233" s="9"/>
      <c r="L233" s="9"/>
      <c r="M233" s="10" t="s">
        <v>510</v>
      </c>
      <c r="N233" s="10" t="str">
        <f>IFERROR(VLOOKUP(M233,[1]DESC!A:B,2,FALSE),"")</f>
        <v/>
      </c>
      <c r="O233" s="9" t="s">
        <v>116</v>
      </c>
      <c r="P233" s="9" t="s">
        <v>117</v>
      </c>
      <c r="Q233" s="9" t="s">
        <v>118</v>
      </c>
      <c r="R233" s="9" t="s">
        <v>146</v>
      </c>
      <c r="S233" s="9" t="s">
        <v>147</v>
      </c>
      <c r="T233" s="11" t="s">
        <v>148</v>
      </c>
      <c r="U233" s="12" t="s">
        <v>149</v>
      </c>
      <c r="V233" s="12" t="s">
        <v>150</v>
      </c>
      <c r="W233" s="9">
        <v>0</v>
      </c>
      <c r="X233" s="9" t="s">
        <v>146</v>
      </c>
      <c r="Y233" s="9" t="s">
        <v>147</v>
      </c>
      <c r="Z233" s="9" t="s">
        <v>148</v>
      </c>
      <c r="AA233" s="9" t="s">
        <v>151</v>
      </c>
      <c r="AB233" s="12" t="s">
        <v>161</v>
      </c>
      <c r="AC233" s="9">
        <v>64</v>
      </c>
    </row>
    <row r="234" spans="1:29" ht="22.5" customHeight="1">
      <c r="A234" s="9" t="s">
        <v>29</v>
      </c>
      <c r="B234" s="9" t="s">
        <v>222</v>
      </c>
      <c r="C234" s="9" t="s">
        <v>113</v>
      </c>
      <c r="D234" s="9" t="s">
        <v>76</v>
      </c>
      <c r="E234" s="9" t="s">
        <v>32</v>
      </c>
      <c r="F234" s="9" t="s">
        <v>33</v>
      </c>
      <c r="G234" s="9">
        <v>2</v>
      </c>
      <c r="H234" s="10"/>
      <c r="I234" s="9" t="s">
        <v>504</v>
      </c>
      <c r="J234" s="9" t="s">
        <v>481</v>
      </c>
      <c r="K234" s="9"/>
      <c r="L234" s="9"/>
      <c r="M234" s="10" t="s">
        <v>510</v>
      </c>
      <c r="N234" s="10" t="str">
        <f>IFERROR(VLOOKUP(M234,[1]DESC!A:B,2,FALSE),"")</f>
        <v/>
      </c>
      <c r="O234" s="9" t="s">
        <v>116</v>
      </c>
      <c r="P234" s="9" t="s">
        <v>117</v>
      </c>
      <c r="Q234" s="9" t="s">
        <v>118</v>
      </c>
      <c r="R234" s="9" t="s">
        <v>146</v>
      </c>
      <c r="S234" s="9" t="s">
        <v>147</v>
      </c>
      <c r="T234" s="11" t="s">
        <v>148</v>
      </c>
      <c r="U234" s="12" t="s">
        <v>149</v>
      </c>
      <c r="V234" s="12" t="s">
        <v>150</v>
      </c>
      <c r="W234" s="9">
        <v>0</v>
      </c>
      <c r="X234" s="9" t="s">
        <v>146</v>
      </c>
      <c r="Y234" s="9" t="s">
        <v>147</v>
      </c>
      <c r="Z234" s="9" t="s">
        <v>148</v>
      </c>
      <c r="AA234" s="9" t="s">
        <v>151</v>
      </c>
      <c r="AB234" s="12" t="s">
        <v>161</v>
      </c>
      <c r="AC234" s="9">
        <v>64</v>
      </c>
    </row>
    <row r="235" spans="1:29" ht="22.5" customHeight="1">
      <c r="A235" s="9" t="s">
        <v>29</v>
      </c>
      <c r="B235" s="9" t="s">
        <v>222</v>
      </c>
      <c r="C235" s="9" t="s">
        <v>113</v>
      </c>
      <c r="D235" s="9" t="s">
        <v>76</v>
      </c>
      <c r="E235" s="9" t="s">
        <v>32</v>
      </c>
      <c r="F235" s="9" t="s">
        <v>33</v>
      </c>
      <c r="G235" s="9">
        <v>2</v>
      </c>
      <c r="H235" s="10"/>
      <c r="I235" s="9" t="s">
        <v>494</v>
      </c>
      <c r="J235" s="9" t="s">
        <v>481</v>
      </c>
      <c r="K235" s="9"/>
      <c r="L235" s="9"/>
      <c r="M235" s="10" t="s">
        <v>510</v>
      </c>
      <c r="N235" s="10" t="str">
        <f>IFERROR(VLOOKUP(M235,[1]DESC!A:B,2,FALSE),"")</f>
        <v/>
      </c>
      <c r="O235" s="9" t="s">
        <v>116</v>
      </c>
      <c r="P235" s="9" t="s">
        <v>117</v>
      </c>
      <c r="Q235" s="9" t="s">
        <v>118</v>
      </c>
      <c r="R235" s="9" t="s">
        <v>146</v>
      </c>
      <c r="S235" s="9" t="s">
        <v>147</v>
      </c>
      <c r="T235" s="11" t="s">
        <v>148</v>
      </c>
      <c r="U235" s="12" t="s">
        <v>149</v>
      </c>
      <c r="V235" s="12" t="s">
        <v>150</v>
      </c>
      <c r="W235" s="9">
        <v>0</v>
      </c>
      <c r="X235" s="9" t="s">
        <v>146</v>
      </c>
      <c r="Y235" s="9" t="s">
        <v>147</v>
      </c>
      <c r="Z235" s="9" t="s">
        <v>148</v>
      </c>
      <c r="AA235" s="9" t="s">
        <v>151</v>
      </c>
      <c r="AB235" s="12" t="s">
        <v>161</v>
      </c>
      <c r="AC235" s="9">
        <v>64</v>
      </c>
    </row>
    <row r="236" spans="1:29" ht="22.5" customHeight="1">
      <c r="A236" s="9" t="s">
        <v>29</v>
      </c>
      <c r="B236" s="9" t="s">
        <v>222</v>
      </c>
      <c r="C236" s="9" t="s">
        <v>113</v>
      </c>
      <c r="D236" s="9" t="s">
        <v>76</v>
      </c>
      <c r="E236" s="9" t="s">
        <v>32</v>
      </c>
      <c r="F236" s="9" t="s">
        <v>33</v>
      </c>
      <c r="G236" s="9">
        <v>2</v>
      </c>
      <c r="H236" s="10"/>
      <c r="I236" s="9" t="s">
        <v>490</v>
      </c>
      <c r="J236" s="9" t="s">
        <v>481</v>
      </c>
      <c r="K236" s="9"/>
      <c r="L236" s="9"/>
      <c r="M236" s="10" t="s">
        <v>510</v>
      </c>
      <c r="N236" s="10" t="str">
        <f>IFERROR(VLOOKUP(M236,[1]DESC!A:B,2,FALSE),"")</f>
        <v/>
      </c>
      <c r="O236" s="9" t="s">
        <v>116</v>
      </c>
      <c r="P236" s="9" t="s">
        <v>117</v>
      </c>
      <c r="Q236" s="9" t="s">
        <v>118</v>
      </c>
      <c r="R236" s="9" t="s">
        <v>146</v>
      </c>
      <c r="S236" s="9" t="s">
        <v>147</v>
      </c>
      <c r="T236" s="11" t="s">
        <v>148</v>
      </c>
      <c r="U236" s="12" t="s">
        <v>149</v>
      </c>
      <c r="V236" s="12" t="s">
        <v>150</v>
      </c>
      <c r="W236" s="9">
        <v>0</v>
      </c>
      <c r="X236" s="9" t="s">
        <v>146</v>
      </c>
      <c r="Y236" s="9" t="s">
        <v>147</v>
      </c>
      <c r="Z236" s="9" t="s">
        <v>148</v>
      </c>
      <c r="AA236" s="9" t="s">
        <v>151</v>
      </c>
      <c r="AB236" s="12" t="s">
        <v>161</v>
      </c>
      <c r="AC236" s="9">
        <v>64</v>
      </c>
    </row>
    <row r="237" spans="1:29" ht="22.5" customHeight="1">
      <c r="A237" s="9" t="s">
        <v>29</v>
      </c>
      <c r="B237" s="9" t="s">
        <v>222</v>
      </c>
      <c r="C237" s="9" t="s">
        <v>113</v>
      </c>
      <c r="D237" s="9" t="s">
        <v>76</v>
      </c>
      <c r="E237" s="9" t="s">
        <v>32</v>
      </c>
      <c r="F237" s="9" t="s">
        <v>33</v>
      </c>
      <c r="G237" s="9">
        <v>2</v>
      </c>
      <c r="H237" s="10"/>
      <c r="I237" s="9" t="s">
        <v>505</v>
      </c>
      <c r="J237" s="9" t="s">
        <v>481</v>
      </c>
      <c r="K237" s="9"/>
      <c r="L237" s="9"/>
      <c r="M237" s="10" t="s">
        <v>510</v>
      </c>
      <c r="N237" s="10" t="str">
        <f>IFERROR(VLOOKUP(M237,[1]DESC!A:B,2,FALSE),"")</f>
        <v/>
      </c>
      <c r="O237" s="9" t="s">
        <v>116</v>
      </c>
      <c r="P237" s="9" t="s">
        <v>117</v>
      </c>
      <c r="Q237" s="9" t="s">
        <v>118</v>
      </c>
      <c r="R237" s="9" t="s">
        <v>146</v>
      </c>
      <c r="S237" s="9" t="s">
        <v>147</v>
      </c>
      <c r="T237" s="11" t="s">
        <v>148</v>
      </c>
      <c r="U237" s="12" t="s">
        <v>149</v>
      </c>
      <c r="V237" s="12" t="s">
        <v>150</v>
      </c>
      <c r="W237" s="9">
        <v>0</v>
      </c>
      <c r="X237" s="9" t="s">
        <v>146</v>
      </c>
      <c r="Y237" s="9" t="s">
        <v>147</v>
      </c>
      <c r="Z237" s="9" t="s">
        <v>148</v>
      </c>
      <c r="AA237" s="9" t="s">
        <v>151</v>
      </c>
      <c r="AB237" s="12" t="s">
        <v>161</v>
      </c>
      <c r="AC237" s="9">
        <v>64</v>
      </c>
    </row>
    <row r="238" spans="1:29" ht="22.5" customHeight="1">
      <c r="A238" s="9" t="s">
        <v>29</v>
      </c>
      <c r="B238" s="9" t="s">
        <v>222</v>
      </c>
      <c r="C238" s="9" t="s">
        <v>113</v>
      </c>
      <c r="D238" s="9" t="s">
        <v>76</v>
      </c>
      <c r="E238" s="9" t="s">
        <v>32</v>
      </c>
      <c r="F238" s="9" t="s">
        <v>33</v>
      </c>
      <c r="G238" s="9">
        <v>2</v>
      </c>
      <c r="H238" s="10"/>
      <c r="I238" s="9" t="s">
        <v>192</v>
      </c>
      <c r="J238" s="9" t="s">
        <v>481</v>
      </c>
      <c r="K238" s="9"/>
      <c r="L238" s="9"/>
      <c r="M238" s="10" t="s">
        <v>510</v>
      </c>
      <c r="N238" s="10" t="str">
        <f>IFERROR(VLOOKUP(M238,[1]DESC!A:B,2,FALSE),"")</f>
        <v/>
      </c>
      <c r="O238" s="9" t="s">
        <v>116</v>
      </c>
      <c r="P238" s="9" t="s">
        <v>117</v>
      </c>
      <c r="Q238" s="9" t="s">
        <v>118</v>
      </c>
      <c r="R238" s="9" t="s">
        <v>146</v>
      </c>
      <c r="S238" s="9" t="s">
        <v>147</v>
      </c>
      <c r="T238" s="11" t="s">
        <v>148</v>
      </c>
      <c r="U238" s="12" t="s">
        <v>149</v>
      </c>
      <c r="V238" s="12" t="s">
        <v>150</v>
      </c>
      <c r="W238" s="9">
        <v>0</v>
      </c>
      <c r="X238" s="9" t="s">
        <v>146</v>
      </c>
      <c r="Y238" s="9" t="s">
        <v>147</v>
      </c>
      <c r="Z238" s="9" t="s">
        <v>148</v>
      </c>
      <c r="AA238" s="9" t="s">
        <v>151</v>
      </c>
      <c r="AB238" s="12" t="s">
        <v>161</v>
      </c>
      <c r="AC238" s="9">
        <v>64</v>
      </c>
    </row>
    <row r="239" spans="1:29" ht="22.5" customHeight="1">
      <c r="A239" s="9" t="s">
        <v>29</v>
      </c>
      <c r="B239" s="9" t="s">
        <v>222</v>
      </c>
      <c r="C239" s="9" t="s">
        <v>113</v>
      </c>
      <c r="D239" s="9" t="s">
        <v>76</v>
      </c>
      <c r="E239" s="9" t="s">
        <v>32</v>
      </c>
      <c r="F239" s="9" t="s">
        <v>33</v>
      </c>
      <c r="G239" s="9">
        <v>2</v>
      </c>
      <c r="H239" s="10"/>
      <c r="I239" s="9" t="s">
        <v>487</v>
      </c>
      <c r="J239" s="9" t="s">
        <v>481</v>
      </c>
      <c r="K239" s="9"/>
      <c r="L239" s="9"/>
      <c r="M239" s="10" t="s">
        <v>510</v>
      </c>
      <c r="N239" s="10" t="str">
        <f>IFERROR(VLOOKUP(M239,[1]DESC!A:B,2,FALSE),"")</f>
        <v/>
      </c>
      <c r="O239" s="9" t="s">
        <v>116</v>
      </c>
      <c r="P239" s="9" t="s">
        <v>117</v>
      </c>
      <c r="Q239" s="9" t="s">
        <v>118</v>
      </c>
      <c r="R239" s="9" t="s">
        <v>146</v>
      </c>
      <c r="S239" s="9" t="s">
        <v>147</v>
      </c>
      <c r="T239" s="11" t="s">
        <v>148</v>
      </c>
      <c r="U239" s="12" t="s">
        <v>149</v>
      </c>
      <c r="V239" s="12" t="s">
        <v>150</v>
      </c>
      <c r="W239" s="9">
        <v>0</v>
      </c>
      <c r="X239" s="9" t="s">
        <v>146</v>
      </c>
      <c r="Y239" s="9" t="s">
        <v>147</v>
      </c>
      <c r="Z239" s="9" t="s">
        <v>148</v>
      </c>
      <c r="AA239" s="9" t="s">
        <v>151</v>
      </c>
      <c r="AB239" s="12" t="s">
        <v>161</v>
      </c>
      <c r="AC239" s="9">
        <v>64</v>
      </c>
    </row>
    <row r="240" spans="1:29" ht="22.5" customHeight="1">
      <c r="A240" s="9" t="s">
        <v>29</v>
      </c>
      <c r="B240" s="9" t="s">
        <v>222</v>
      </c>
      <c r="C240" s="9" t="s">
        <v>113</v>
      </c>
      <c r="D240" s="9" t="s">
        <v>76</v>
      </c>
      <c r="E240" s="9" t="s">
        <v>32</v>
      </c>
      <c r="F240" s="9" t="s">
        <v>33</v>
      </c>
      <c r="G240" s="9">
        <v>2</v>
      </c>
      <c r="H240" s="10"/>
      <c r="I240" s="9" t="s">
        <v>492</v>
      </c>
      <c r="J240" s="9" t="s">
        <v>481</v>
      </c>
      <c r="K240" s="9"/>
      <c r="L240" s="9"/>
      <c r="M240" s="10" t="s">
        <v>510</v>
      </c>
      <c r="N240" s="10" t="str">
        <f>IFERROR(VLOOKUP(M240,[1]DESC!A:B,2,FALSE),"")</f>
        <v/>
      </c>
      <c r="O240" s="9" t="s">
        <v>116</v>
      </c>
      <c r="P240" s="9" t="s">
        <v>117</v>
      </c>
      <c r="Q240" s="9" t="s">
        <v>118</v>
      </c>
      <c r="R240" s="9" t="s">
        <v>146</v>
      </c>
      <c r="S240" s="9" t="s">
        <v>147</v>
      </c>
      <c r="T240" s="11" t="s">
        <v>148</v>
      </c>
      <c r="U240" s="12" t="s">
        <v>149</v>
      </c>
      <c r="V240" s="12" t="s">
        <v>150</v>
      </c>
      <c r="W240" s="9">
        <v>0</v>
      </c>
      <c r="X240" s="9" t="s">
        <v>146</v>
      </c>
      <c r="Y240" s="9" t="s">
        <v>147</v>
      </c>
      <c r="Z240" s="9" t="s">
        <v>148</v>
      </c>
      <c r="AA240" s="9" t="s">
        <v>151</v>
      </c>
      <c r="AB240" s="12" t="s">
        <v>161</v>
      </c>
      <c r="AC240" s="9">
        <v>64</v>
      </c>
    </row>
    <row r="241" spans="1:29" ht="22.5" customHeight="1">
      <c r="A241" s="9" t="s">
        <v>29</v>
      </c>
      <c r="B241" s="9" t="s">
        <v>222</v>
      </c>
      <c r="C241" s="9" t="s">
        <v>113</v>
      </c>
      <c r="D241" s="9" t="s">
        <v>76</v>
      </c>
      <c r="E241" s="9" t="s">
        <v>32</v>
      </c>
      <c r="F241" s="9" t="s">
        <v>33</v>
      </c>
      <c r="G241" s="9">
        <v>2</v>
      </c>
      <c r="H241" s="10"/>
      <c r="I241" s="9" t="s">
        <v>515</v>
      </c>
      <c r="J241" s="9" t="s">
        <v>481</v>
      </c>
      <c r="K241" s="9"/>
      <c r="L241" s="9"/>
      <c r="M241" s="10" t="s">
        <v>510</v>
      </c>
      <c r="N241" s="10" t="str">
        <f>IFERROR(VLOOKUP(M241,[1]DESC!A:B,2,FALSE),"")</f>
        <v/>
      </c>
      <c r="O241" s="9" t="s">
        <v>116</v>
      </c>
      <c r="P241" s="9" t="s">
        <v>117</v>
      </c>
      <c r="Q241" s="9" t="s">
        <v>118</v>
      </c>
      <c r="R241" s="9" t="s">
        <v>146</v>
      </c>
      <c r="S241" s="9" t="s">
        <v>147</v>
      </c>
      <c r="T241" s="11" t="s">
        <v>148</v>
      </c>
      <c r="U241" s="12" t="s">
        <v>149</v>
      </c>
      <c r="V241" s="12" t="s">
        <v>150</v>
      </c>
      <c r="W241" s="9">
        <v>0</v>
      </c>
      <c r="X241" s="9" t="s">
        <v>146</v>
      </c>
      <c r="Y241" s="9" t="s">
        <v>147</v>
      </c>
      <c r="Z241" s="9" t="s">
        <v>148</v>
      </c>
      <c r="AA241" s="9" t="s">
        <v>151</v>
      </c>
      <c r="AB241" s="12" t="s">
        <v>161</v>
      </c>
      <c r="AC241" s="9">
        <v>64</v>
      </c>
    </row>
    <row r="242" spans="1:29" ht="22.5" customHeight="1">
      <c r="A242" s="9" t="s">
        <v>29</v>
      </c>
      <c r="B242" s="9" t="s">
        <v>222</v>
      </c>
      <c r="C242" s="9" t="s">
        <v>113</v>
      </c>
      <c r="D242" s="9" t="s">
        <v>76</v>
      </c>
      <c r="E242" s="9" t="s">
        <v>32</v>
      </c>
      <c r="F242" s="9" t="s">
        <v>33</v>
      </c>
      <c r="G242" s="9">
        <v>2</v>
      </c>
      <c r="H242" s="10"/>
      <c r="I242" s="9" t="s">
        <v>200</v>
      </c>
      <c r="J242" s="9" t="s">
        <v>481</v>
      </c>
      <c r="K242" s="9"/>
      <c r="L242" s="9"/>
      <c r="M242" s="10" t="s">
        <v>510</v>
      </c>
      <c r="N242" s="10" t="str">
        <f>IFERROR(VLOOKUP(M242,[1]DESC!A:B,2,FALSE),"")</f>
        <v/>
      </c>
      <c r="O242" s="9" t="s">
        <v>116</v>
      </c>
      <c r="P242" s="9" t="s">
        <v>117</v>
      </c>
      <c r="Q242" s="9" t="s">
        <v>118</v>
      </c>
      <c r="R242" s="9" t="s">
        <v>146</v>
      </c>
      <c r="S242" s="9" t="s">
        <v>147</v>
      </c>
      <c r="T242" s="11" t="s">
        <v>148</v>
      </c>
      <c r="U242" s="12" t="s">
        <v>149</v>
      </c>
      <c r="V242" s="12" t="s">
        <v>150</v>
      </c>
      <c r="W242" s="9">
        <v>0</v>
      </c>
      <c r="X242" s="9" t="s">
        <v>146</v>
      </c>
      <c r="Y242" s="9" t="s">
        <v>147</v>
      </c>
      <c r="Z242" s="9" t="s">
        <v>148</v>
      </c>
      <c r="AA242" s="9" t="s">
        <v>151</v>
      </c>
      <c r="AB242" s="12" t="s">
        <v>161</v>
      </c>
      <c r="AC242" s="9">
        <v>64</v>
      </c>
    </row>
    <row r="243" spans="1:29" ht="22.5" customHeight="1">
      <c r="A243" s="9" t="s">
        <v>29</v>
      </c>
      <c r="B243" s="9" t="s">
        <v>222</v>
      </c>
      <c r="C243" s="9" t="s">
        <v>113</v>
      </c>
      <c r="D243" s="9" t="s">
        <v>76</v>
      </c>
      <c r="E243" s="9" t="s">
        <v>32</v>
      </c>
      <c r="F243" s="9" t="s">
        <v>33</v>
      </c>
      <c r="G243" s="9">
        <v>2</v>
      </c>
      <c r="H243" s="10"/>
      <c r="I243" s="9" t="s">
        <v>516</v>
      </c>
      <c r="J243" s="9" t="s">
        <v>481</v>
      </c>
      <c r="K243" s="9"/>
      <c r="L243" s="9"/>
      <c r="M243" s="10" t="s">
        <v>510</v>
      </c>
      <c r="N243" s="10" t="str">
        <f>IFERROR(VLOOKUP(M243,[1]DESC!A:B,2,FALSE),"")</f>
        <v/>
      </c>
      <c r="O243" s="9" t="s">
        <v>116</v>
      </c>
      <c r="P243" s="9" t="s">
        <v>117</v>
      </c>
      <c r="Q243" s="9" t="s">
        <v>118</v>
      </c>
      <c r="R243" s="9" t="s">
        <v>146</v>
      </c>
      <c r="S243" s="9" t="s">
        <v>147</v>
      </c>
      <c r="T243" s="11" t="s">
        <v>148</v>
      </c>
      <c r="U243" s="12" t="s">
        <v>149</v>
      </c>
      <c r="V243" s="12" t="s">
        <v>150</v>
      </c>
      <c r="W243" s="9">
        <v>0</v>
      </c>
      <c r="X243" s="9" t="s">
        <v>146</v>
      </c>
      <c r="Y243" s="9" t="s">
        <v>147</v>
      </c>
      <c r="Z243" s="9" t="s">
        <v>148</v>
      </c>
      <c r="AA243" s="9" t="s">
        <v>151</v>
      </c>
      <c r="AB243" s="12" t="s">
        <v>161</v>
      </c>
      <c r="AC243" s="9">
        <v>64</v>
      </c>
    </row>
    <row r="244" spans="1:29" ht="22.5" customHeight="1">
      <c r="A244" s="9" t="s">
        <v>29</v>
      </c>
      <c r="B244" s="9" t="s">
        <v>222</v>
      </c>
      <c r="C244" s="9" t="s">
        <v>113</v>
      </c>
      <c r="D244" s="9" t="s">
        <v>76</v>
      </c>
      <c r="E244" s="9" t="s">
        <v>32</v>
      </c>
      <c r="F244" s="9" t="s">
        <v>33</v>
      </c>
      <c r="G244" s="9">
        <v>2</v>
      </c>
      <c r="H244" s="10"/>
      <c r="I244" s="9" t="s">
        <v>498</v>
      </c>
      <c r="J244" s="9" t="s">
        <v>481</v>
      </c>
      <c r="K244" s="9"/>
      <c r="L244" s="9"/>
      <c r="M244" s="10" t="s">
        <v>510</v>
      </c>
      <c r="N244" s="10" t="str">
        <f>IFERROR(VLOOKUP(M244,[1]DESC!A:B,2,FALSE),"")</f>
        <v/>
      </c>
      <c r="O244" s="9" t="s">
        <v>116</v>
      </c>
      <c r="P244" s="9" t="s">
        <v>117</v>
      </c>
      <c r="Q244" s="9" t="s">
        <v>118</v>
      </c>
      <c r="R244" s="9" t="s">
        <v>146</v>
      </c>
      <c r="S244" s="9" t="s">
        <v>147</v>
      </c>
      <c r="T244" s="11" t="s">
        <v>148</v>
      </c>
      <c r="U244" s="12" t="s">
        <v>149</v>
      </c>
      <c r="V244" s="12" t="s">
        <v>150</v>
      </c>
      <c r="W244" s="9">
        <v>0</v>
      </c>
      <c r="X244" s="9" t="s">
        <v>146</v>
      </c>
      <c r="Y244" s="9" t="s">
        <v>147</v>
      </c>
      <c r="Z244" s="9" t="s">
        <v>148</v>
      </c>
      <c r="AA244" s="9" t="s">
        <v>151</v>
      </c>
      <c r="AB244" s="12" t="s">
        <v>161</v>
      </c>
      <c r="AC244" s="9">
        <v>64</v>
      </c>
    </row>
    <row r="245" spans="1:29" ht="22.5" customHeight="1">
      <c r="A245" s="9" t="s">
        <v>29</v>
      </c>
      <c r="B245" s="9" t="s">
        <v>222</v>
      </c>
      <c r="C245" s="9" t="s">
        <v>113</v>
      </c>
      <c r="D245" s="9" t="s">
        <v>76</v>
      </c>
      <c r="E245" s="9" t="s">
        <v>32</v>
      </c>
      <c r="F245" s="9" t="s">
        <v>33</v>
      </c>
      <c r="G245" s="9">
        <v>2</v>
      </c>
      <c r="H245" s="10"/>
      <c r="I245" s="9" t="s">
        <v>509</v>
      </c>
      <c r="J245" s="9" t="s">
        <v>481</v>
      </c>
      <c r="K245" s="9"/>
      <c r="L245" s="9"/>
      <c r="M245" s="10" t="s">
        <v>510</v>
      </c>
      <c r="N245" s="10" t="str">
        <f>IFERROR(VLOOKUP(M245,[1]DESC!A:B,2,FALSE),"")</f>
        <v/>
      </c>
      <c r="O245" s="9" t="s">
        <v>116</v>
      </c>
      <c r="P245" s="9" t="s">
        <v>117</v>
      </c>
      <c r="Q245" s="9" t="s">
        <v>118</v>
      </c>
      <c r="R245" s="9" t="s">
        <v>146</v>
      </c>
      <c r="S245" s="9" t="s">
        <v>147</v>
      </c>
      <c r="T245" s="11" t="s">
        <v>148</v>
      </c>
      <c r="U245" s="12" t="s">
        <v>149</v>
      </c>
      <c r="V245" s="12" t="s">
        <v>150</v>
      </c>
      <c r="W245" s="9">
        <v>0</v>
      </c>
      <c r="X245" s="9" t="s">
        <v>146</v>
      </c>
      <c r="Y245" s="9" t="s">
        <v>147</v>
      </c>
      <c r="Z245" s="9" t="s">
        <v>148</v>
      </c>
      <c r="AA245" s="9" t="s">
        <v>151</v>
      </c>
      <c r="AB245" s="12" t="s">
        <v>161</v>
      </c>
      <c r="AC245" s="9">
        <v>64</v>
      </c>
    </row>
    <row r="246" spans="1:29" ht="22.5" customHeight="1">
      <c r="A246" s="9" t="s">
        <v>29</v>
      </c>
      <c r="B246" s="9" t="s">
        <v>222</v>
      </c>
      <c r="C246" s="9" t="s">
        <v>113</v>
      </c>
      <c r="D246" s="9" t="s">
        <v>76</v>
      </c>
      <c r="E246" s="9" t="s">
        <v>32</v>
      </c>
      <c r="F246" s="9" t="s">
        <v>33</v>
      </c>
      <c r="G246" s="9">
        <v>2</v>
      </c>
      <c r="H246" s="10"/>
      <c r="I246" s="9" t="s">
        <v>502</v>
      </c>
      <c r="J246" s="9" t="s">
        <v>481</v>
      </c>
      <c r="K246" s="9"/>
      <c r="L246" s="9"/>
      <c r="M246" s="10" t="s">
        <v>510</v>
      </c>
      <c r="N246" s="10" t="str">
        <f>IFERROR(VLOOKUP(M246,[1]DESC!A:B,2,FALSE),"")</f>
        <v/>
      </c>
      <c r="O246" s="9" t="s">
        <v>116</v>
      </c>
      <c r="P246" s="9" t="s">
        <v>117</v>
      </c>
      <c r="Q246" s="9" t="s">
        <v>118</v>
      </c>
      <c r="R246" s="9" t="s">
        <v>146</v>
      </c>
      <c r="S246" s="9" t="s">
        <v>147</v>
      </c>
      <c r="T246" s="11" t="s">
        <v>148</v>
      </c>
      <c r="U246" s="12" t="s">
        <v>149</v>
      </c>
      <c r="V246" s="12" t="s">
        <v>150</v>
      </c>
      <c r="W246" s="9">
        <v>0</v>
      </c>
      <c r="X246" s="9" t="s">
        <v>146</v>
      </c>
      <c r="Y246" s="9" t="s">
        <v>147</v>
      </c>
      <c r="Z246" s="9" t="s">
        <v>148</v>
      </c>
      <c r="AA246" s="9" t="s">
        <v>151</v>
      </c>
      <c r="AB246" s="12" t="s">
        <v>161</v>
      </c>
      <c r="AC246" s="9">
        <v>64</v>
      </c>
    </row>
    <row r="247" spans="1:29" ht="22.5" customHeight="1">
      <c r="A247" s="9" t="s">
        <v>29</v>
      </c>
      <c r="B247" s="9" t="s">
        <v>222</v>
      </c>
      <c r="C247" s="9" t="s">
        <v>113</v>
      </c>
      <c r="D247" s="9" t="s">
        <v>76</v>
      </c>
      <c r="E247" s="9" t="s">
        <v>32</v>
      </c>
      <c r="F247" s="9" t="s">
        <v>33</v>
      </c>
      <c r="G247" s="9">
        <v>2</v>
      </c>
      <c r="H247" s="10"/>
      <c r="I247" s="9" t="s">
        <v>485</v>
      </c>
      <c r="J247" s="9" t="s">
        <v>481</v>
      </c>
      <c r="K247" s="9"/>
      <c r="L247" s="9"/>
      <c r="M247" s="10" t="s">
        <v>510</v>
      </c>
      <c r="N247" s="10" t="str">
        <f>IFERROR(VLOOKUP(M247,[1]DESC!A:B,2,FALSE),"")</f>
        <v/>
      </c>
      <c r="O247" s="9" t="s">
        <v>116</v>
      </c>
      <c r="P247" s="9" t="s">
        <v>117</v>
      </c>
      <c r="Q247" s="9" t="s">
        <v>118</v>
      </c>
      <c r="R247" s="9" t="s">
        <v>146</v>
      </c>
      <c r="S247" s="9" t="s">
        <v>147</v>
      </c>
      <c r="T247" s="11" t="s">
        <v>148</v>
      </c>
      <c r="U247" s="12" t="s">
        <v>149</v>
      </c>
      <c r="V247" s="12" t="s">
        <v>150</v>
      </c>
      <c r="W247" s="9">
        <v>0</v>
      </c>
      <c r="X247" s="9" t="s">
        <v>146</v>
      </c>
      <c r="Y247" s="9" t="s">
        <v>147</v>
      </c>
      <c r="Z247" s="9" t="s">
        <v>148</v>
      </c>
      <c r="AA247" s="9" t="s">
        <v>151</v>
      </c>
      <c r="AB247" s="12" t="s">
        <v>161</v>
      </c>
      <c r="AC247" s="9">
        <v>64</v>
      </c>
    </row>
    <row r="248" spans="1:29" ht="22.5" customHeight="1">
      <c r="A248" s="9" t="s">
        <v>29</v>
      </c>
      <c r="B248" s="9" t="s">
        <v>222</v>
      </c>
      <c r="C248" s="9" t="s">
        <v>113</v>
      </c>
      <c r="D248" s="9" t="s">
        <v>76</v>
      </c>
      <c r="E248" s="9" t="s">
        <v>32</v>
      </c>
      <c r="F248" s="9" t="s">
        <v>33</v>
      </c>
      <c r="G248" s="9">
        <v>2</v>
      </c>
      <c r="H248" s="10"/>
      <c r="I248" s="9" t="s">
        <v>493</v>
      </c>
      <c r="J248" s="9" t="s">
        <v>481</v>
      </c>
      <c r="K248" s="9"/>
      <c r="L248" s="9"/>
      <c r="M248" s="10" t="s">
        <v>510</v>
      </c>
      <c r="N248" s="10" t="str">
        <f>IFERROR(VLOOKUP(M248,[1]DESC!A:B,2,FALSE),"")</f>
        <v/>
      </c>
      <c r="O248" s="9" t="s">
        <v>116</v>
      </c>
      <c r="P248" s="9" t="s">
        <v>117</v>
      </c>
      <c r="Q248" s="9" t="s">
        <v>118</v>
      </c>
      <c r="R248" s="9" t="s">
        <v>146</v>
      </c>
      <c r="S248" s="9" t="s">
        <v>147</v>
      </c>
      <c r="T248" s="11" t="s">
        <v>148</v>
      </c>
      <c r="U248" s="12" t="s">
        <v>149</v>
      </c>
      <c r="V248" s="12" t="s">
        <v>150</v>
      </c>
      <c r="W248" s="9">
        <v>0</v>
      </c>
      <c r="X248" s="9" t="s">
        <v>146</v>
      </c>
      <c r="Y248" s="9" t="s">
        <v>147</v>
      </c>
      <c r="Z248" s="9" t="s">
        <v>148</v>
      </c>
      <c r="AA248" s="9" t="s">
        <v>151</v>
      </c>
      <c r="AB248" s="12" t="s">
        <v>161</v>
      </c>
      <c r="AC248" s="9">
        <v>64</v>
      </c>
    </row>
    <row r="249" spans="1:29" ht="22.5" customHeight="1">
      <c r="A249" s="9" t="s">
        <v>29</v>
      </c>
      <c r="B249" s="9" t="s">
        <v>222</v>
      </c>
      <c r="C249" s="9" t="s">
        <v>113</v>
      </c>
      <c r="D249" s="9" t="s">
        <v>76</v>
      </c>
      <c r="E249" s="9" t="s">
        <v>32</v>
      </c>
      <c r="F249" s="9" t="s">
        <v>33</v>
      </c>
      <c r="G249" s="9">
        <v>2</v>
      </c>
      <c r="H249" s="10"/>
      <c r="I249" s="9" t="s">
        <v>489</v>
      </c>
      <c r="J249" s="9" t="s">
        <v>481</v>
      </c>
      <c r="K249" s="9"/>
      <c r="L249" s="9"/>
      <c r="M249" s="10" t="s">
        <v>510</v>
      </c>
      <c r="N249" s="10" t="str">
        <f>IFERROR(VLOOKUP(M249,[1]DESC!A:B,2,FALSE),"")</f>
        <v/>
      </c>
      <c r="O249" s="9" t="s">
        <v>116</v>
      </c>
      <c r="P249" s="9" t="s">
        <v>117</v>
      </c>
      <c r="Q249" s="9" t="s">
        <v>118</v>
      </c>
      <c r="R249" s="9" t="s">
        <v>146</v>
      </c>
      <c r="S249" s="9" t="s">
        <v>147</v>
      </c>
      <c r="T249" s="11" t="s">
        <v>148</v>
      </c>
      <c r="U249" s="12" t="s">
        <v>149</v>
      </c>
      <c r="V249" s="12" t="s">
        <v>150</v>
      </c>
      <c r="W249" s="9">
        <v>0</v>
      </c>
      <c r="X249" s="9" t="s">
        <v>146</v>
      </c>
      <c r="Y249" s="9" t="s">
        <v>147</v>
      </c>
      <c r="Z249" s="9" t="s">
        <v>148</v>
      </c>
      <c r="AA249" s="9" t="s">
        <v>151</v>
      </c>
      <c r="AB249" s="12" t="s">
        <v>161</v>
      </c>
      <c r="AC249" s="9">
        <v>64</v>
      </c>
    </row>
    <row r="250" spans="1:29" ht="22.5" customHeight="1">
      <c r="A250" s="9" t="s">
        <v>29</v>
      </c>
      <c r="B250" s="9" t="s">
        <v>222</v>
      </c>
      <c r="C250" s="9" t="s">
        <v>113</v>
      </c>
      <c r="D250" s="9" t="s">
        <v>76</v>
      </c>
      <c r="E250" s="9" t="s">
        <v>32</v>
      </c>
      <c r="F250" s="9" t="s">
        <v>33</v>
      </c>
      <c r="G250" s="9">
        <v>2</v>
      </c>
      <c r="H250" s="10"/>
      <c r="I250" s="9" t="s">
        <v>517</v>
      </c>
      <c r="J250" s="9" t="s">
        <v>481</v>
      </c>
      <c r="K250" s="9"/>
      <c r="L250" s="9"/>
      <c r="M250" s="10" t="s">
        <v>510</v>
      </c>
      <c r="N250" s="10" t="str">
        <f>IFERROR(VLOOKUP(M250,[1]DESC!A:B,2,FALSE),"")</f>
        <v/>
      </c>
      <c r="O250" s="9" t="s">
        <v>116</v>
      </c>
      <c r="P250" s="9" t="s">
        <v>117</v>
      </c>
      <c r="Q250" s="9" t="s">
        <v>118</v>
      </c>
      <c r="R250" s="9" t="s">
        <v>146</v>
      </c>
      <c r="S250" s="9" t="s">
        <v>147</v>
      </c>
      <c r="T250" s="11" t="s">
        <v>148</v>
      </c>
      <c r="U250" s="12" t="s">
        <v>149</v>
      </c>
      <c r="V250" s="12" t="s">
        <v>150</v>
      </c>
      <c r="W250" s="9">
        <v>0</v>
      </c>
      <c r="X250" s="9" t="s">
        <v>146</v>
      </c>
      <c r="Y250" s="9" t="s">
        <v>147</v>
      </c>
      <c r="Z250" s="9" t="s">
        <v>148</v>
      </c>
      <c r="AA250" s="9" t="s">
        <v>151</v>
      </c>
      <c r="AB250" s="12" t="s">
        <v>161</v>
      </c>
      <c r="AC250" s="9">
        <v>64</v>
      </c>
    </row>
    <row r="251" spans="1:29" ht="22.5" customHeight="1">
      <c r="A251" s="9" t="s">
        <v>29</v>
      </c>
      <c r="B251" s="9" t="s">
        <v>222</v>
      </c>
      <c r="C251" s="9" t="s">
        <v>113</v>
      </c>
      <c r="D251" s="9" t="s">
        <v>76</v>
      </c>
      <c r="E251" s="9" t="s">
        <v>32</v>
      </c>
      <c r="F251" s="9" t="s">
        <v>33</v>
      </c>
      <c r="G251" s="9">
        <v>2</v>
      </c>
      <c r="H251" s="10"/>
      <c r="I251" s="9" t="s">
        <v>190</v>
      </c>
      <c r="J251" s="9" t="s">
        <v>481</v>
      </c>
      <c r="K251" s="9"/>
      <c r="L251" s="9"/>
      <c r="M251" s="10" t="s">
        <v>510</v>
      </c>
      <c r="N251" s="10" t="str">
        <f>IFERROR(VLOOKUP(M251,[1]DESC!A:B,2,FALSE),"")</f>
        <v/>
      </c>
      <c r="O251" s="9" t="s">
        <v>116</v>
      </c>
      <c r="P251" s="9" t="s">
        <v>117</v>
      </c>
      <c r="Q251" s="9" t="s">
        <v>118</v>
      </c>
      <c r="R251" s="9" t="s">
        <v>146</v>
      </c>
      <c r="S251" s="9" t="s">
        <v>147</v>
      </c>
      <c r="T251" s="11" t="s">
        <v>148</v>
      </c>
      <c r="U251" s="12" t="s">
        <v>149</v>
      </c>
      <c r="V251" s="12" t="s">
        <v>150</v>
      </c>
      <c r="W251" s="9">
        <v>0</v>
      </c>
      <c r="X251" s="9" t="s">
        <v>146</v>
      </c>
      <c r="Y251" s="9" t="s">
        <v>147</v>
      </c>
      <c r="Z251" s="9" t="s">
        <v>148</v>
      </c>
      <c r="AA251" s="9" t="s">
        <v>151</v>
      </c>
      <c r="AB251" s="12" t="s">
        <v>161</v>
      </c>
      <c r="AC251" s="9">
        <v>64</v>
      </c>
    </row>
    <row r="252" spans="1:29" ht="22.5" customHeight="1">
      <c r="A252" s="9" t="s">
        <v>29</v>
      </c>
      <c r="B252" s="9" t="s">
        <v>222</v>
      </c>
      <c r="C252" s="9" t="s">
        <v>113</v>
      </c>
      <c r="D252" s="9" t="s">
        <v>76</v>
      </c>
      <c r="E252" s="9" t="s">
        <v>32</v>
      </c>
      <c r="F252" s="9" t="s">
        <v>33</v>
      </c>
      <c r="G252" s="9">
        <v>2</v>
      </c>
      <c r="H252" s="10"/>
      <c r="I252" s="9" t="s">
        <v>495</v>
      </c>
      <c r="J252" s="9" t="s">
        <v>481</v>
      </c>
      <c r="K252" s="9"/>
      <c r="L252" s="9"/>
      <c r="M252" s="10" t="s">
        <v>510</v>
      </c>
      <c r="N252" s="10" t="str">
        <f>IFERROR(VLOOKUP(M252,[1]DESC!A:B,2,FALSE),"")</f>
        <v/>
      </c>
      <c r="O252" s="9" t="s">
        <v>116</v>
      </c>
      <c r="P252" s="9" t="s">
        <v>117</v>
      </c>
      <c r="Q252" s="9" t="s">
        <v>118</v>
      </c>
      <c r="R252" s="9" t="s">
        <v>146</v>
      </c>
      <c r="S252" s="9" t="s">
        <v>147</v>
      </c>
      <c r="T252" s="11" t="s">
        <v>148</v>
      </c>
      <c r="U252" s="12" t="s">
        <v>149</v>
      </c>
      <c r="V252" s="12" t="s">
        <v>150</v>
      </c>
      <c r="W252" s="9">
        <v>0</v>
      </c>
      <c r="X252" s="9" t="s">
        <v>146</v>
      </c>
      <c r="Y252" s="9" t="s">
        <v>147</v>
      </c>
      <c r="Z252" s="9" t="s">
        <v>148</v>
      </c>
      <c r="AA252" s="9" t="s">
        <v>151</v>
      </c>
      <c r="AB252" s="12" t="s">
        <v>161</v>
      </c>
      <c r="AC252" s="9">
        <v>64</v>
      </c>
    </row>
    <row r="253" spans="1:29" ht="22.5" customHeight="1">
      <c r="A253" s="9" t="s">
        <v>29</v>
      </c>
      <c r="B253" s="9" t="s">
        <v>222</v>
      </c>
      <c r="C253" s="9" t="s">
        <v>113</v>
      </c>
      <c r="D253" s="9" t="s">
        <v>76</v>
      </c>
      <c r="E253" s="9" t="s">
        <v>32</v>
      </c>
      <c r="F253" s="9" t="s">
        <v>33</v>
      </c>
      <c r="G253" s="9">
        <v>2</v>
      </c>
      <c r="H253" s="10"/>
      <c r="I253" s="9" t="s">
        <v>477</v>
      </c>
      <c r="J253" s="9" t="s">
        <v>481</v>
      </c>
      <c r="K253" s="9"/>
      <c r="L253" s="9"/>
      <c r="M253" s="10" t="s">
        <v>510</v>
      </c>
      <c r="N253" s="10" t="str">
        <f>IFERROR(VLOOKUP(M253,[1]DESC!A:B,2,FALSE),"")</f>
        <v/>
      </c>
      <c r="O253" s="9" t="s">
        <v>116</v>
      </c>
      <c r="P253" s="9" t="s">
        <v>117</v>
      </c>
      <c r="Q253" s="9" t="s">
        <v>118</v>
      </c>
      <c r="R253" s="9" t="s">
        <v>146</v>
      </c>
      <c r="S253" s="9" t="s">
        <v>147</v>
      </c>
      <c r="T253" s="11" t="s">
        <v>148</v>
      </c>
      <c r="U253" s="12" t="s">
        <v>149</v>
      </c>
      <c r="V253" s="12" t="s">
        <v>150</v>
      </c>
      <c r="W253" s="9">
        <v>0</v>
      </c>
      <c r="X253" s="9" t="s">
        <v>146</v>
      </c>
      <c r="Y253" s="9" t="s">
        <v>147</v>
      </c>
      <c r="Z253" s="9" t="s">
        <v>148</v>
      </c>
      <c r="AA253" s="9" t="s">
        <v>151</v>
      </c>
      <c r="AB253" s="12" t="s">
        <v>161</v>
      </c>
      <c r="AC253" s="9">
        <v>64</v>
      </c>
    </row>
    <row r="254" spans="1:29" ht="22.5" customHeight="1">
      <c r="A254" s="9" t="s">
        <v>29</v>
      </c>
      <c r="B254" s="9" t="s">
        <v>222</v>
      </c>
      <c r="C254" s="9" t="s">
        <v>113</v>
      </c>
      <c r="D254" s="9" t="s">
        <v>76</v>
      </c>
      <c r="E254" s="9" t="s">
        <v>32</v>
      </c>
      <c r="F254" s="9" t="s">
        <v>33</v>
      </c>
      <c r="G254" s="9">
        <v>2</v>
      </c>
      <c r="H254" s="10"/>
      <c r="I254" s="9" t="s">
        <v>500</v>
      </c>
      <c r="J254" s="9" t="s">
        <v>481</v>
      </c>
      <c r="K254" s="9"/>
      <c r="L254" s="9"/>
      <c r="M254" s="10" t="s">
        <v>510</v>
      </c>
      <c r="N254" s="10" t="str">
        <f>IFERROR(VLOOKUP(M254,[1]DESC!A:B,2,FALSE),"")</f>
        <v/>
      </c>
      <c r="O254" s="9" t="s">
        <v>116</v>
      </c>
      <c r="P254" s="9" t="s">
        <v>117</v>
      </c>
      <c r="Q254" s="9" t="s">
        <v>118</v>
      </c>
      <c r="R254" s="9" t="s">
        <v>146</v>
      </c>
      <c r="S254" s="9" t="s">
        <v>147</v>
      </c>
      <c r="T254" s="11" t="s">
        <v>148</v>
      </c>
      <c r="U254" s="12" t="s">
        <v>149</v>
      </c>
      <c r="V254" s="12" t="s">
        <v>150</v>
      </c>
      <c r="W254" s="9">
        <v>0</v>
      </c>
      <c r="X254" s="9" t="s">
        <v>146</v>
      </c>
      <c r="Y254" s="9" t="s">
        <v>147</v>
      </c>
      <c r="Z254" s="9" t="s">
        <v>148</v>
      </c>
      <c r="AA254" s="9" t="s">
        <v>151</v>
      </c>
      <c r="AB254" s="12" t="s">
        <v>161</v>
      </c>
      <c r="AC254" s="9">
        <v>64</v>
      </c>
    </row>
    <row r="255" spans="1:29" ht="22.5" customHeight="1">
      <c r="A255" s="9" t="s">
        <v>29</v>
      </c>
      <c r="B255" s="9" t="s">
        <v>222</v>
      </c>
      <c r="C255" s="9" t="s">
        <v>113</v>
      </c>
      <c r="D255" s="9" t="s">
        <v>76</v>
      </c>
      <c r="E255" s="9" t="s">
        <v>32</v>
      </c>
      <c r="F255" s="9" t="s">
        <v>33</v>
      </c>
      <c r="G255" s="9">
        <v>2</v>
      </c>
      <c r="H255" s="10"/>
      <c r="I255" s="9" t="s">
        <v>464</v>
      </c>
      <c r="J255" s="9" t="s">
        <v>481</v>
      </c>
      <c r="K255" s="9"/>
      <c r="L255" s="9"/>
      <c r="M255" s="10" t="s">
        <v>510</v>
      </c>
      <c r="N255" s="10" t="str">
        <f>IFERROR(VLOOKUP(M255,[1]DESC!A:B,2,FALSE),"")</f>
        <v/>
      </c>
      <c r="O255" s="9" t="s">
        <v>116</v>
      </c>
      <c r="P255" s="9" t="s">
        <v>117</v>
      </c>
      <c r="Q255" s="9" t="s">
        <v>118</v>
      </c>
      <c r="R255" s="9" t="s">
        <v>146</v>
      </c>
      <c r="S255" s="9" t="s">
        <v>147</v>
      </c>
      <c r="T255" s="11" t="s">
        <v>148</v>
      </c>
      <c r="U255" s="12" t="s">
        <v>149</v>
      </c>
      <c r="V255" s="12" t="s">
        <v>150</v>
      </c>
      <c r="W255" s="9">
        <v>0</v>
      </c>
      <c r="X255" s="9" t="s">
        <v>146</v>
      </c>
      <c r="Y255" s="9" t="s">
        <v>147</v>
      </c>
      <c r="Z255" s="9" t="s">
        <v>148</v>
      </c>
      <c r="AA255" s="9" t="s">
        <v>151</v>
      </c>
      <c r="AB255" s="12" t="s">
        <v>161</v>
      </c>
      <c r="AC255" s="9">
        <v>64</v>
      </c>
    </row>
    <row r="256" spans="1:29" ht="22.5" customHeight="1">
      <c r="A256" s="9" t="s">
        <v>29</v>
      </c>
      <c r="B256" s="9" t="s">
        <v>222</v>
      </c>
      <c r="C256" s="9" t="s">
        <v>113</v>
      </c>
      <c r="D256" s="9" t="s">
        <v>76</v>
      </c>
      <c r="E256" s="9" t="s">
        <v>32</v>
      </c>
      <c r="F256" s="9" t="s">
        <v>33</v>
      </c>
      <c r="G256" s="9">
        <v>2</v>
      </c>
      <c r="H256" s="10"/>
      <c r="I256" s="9" t="s">
        <v>480</v>
      </c>
      <c r="J256" s="9" t="s">
        <v>481</v>
      </c>
      <c r="K256" s="9"/>
      <c r="L256" s="9"/>
      <c r="M256" s="10" t="s">
        <v>510</v>
      </c>
      <c r="N256" s="10" t="str">
        <f>IFERROR(VLOOKUP(M256,[1]DESC!A:B,2,FALSE),"")</f>
        <v/>
      </c>
      <c r="O256" s="9" t="s">
        <v>116</v>
      </c>
      <c r="P256" s="9" t="s">
        <v>117</v>
      </c>
      <c r="Q256" s="9" t="s">
        <v>118</v>
      </c>
      <c r="R256" s="9" t="s">
        <v>146</v>
      </c>
      <c r="S256" s="9" t="s">
        <v>147</v>
      </c>
      <c r="T256" s="11" t="s">
        <v>148</v>
      </c>
      <c r="U256" s="12" t="s">
        <v>149</v>
      </c>
      <c r="V256" s="12" t="s">
        <v>150</v>
      </c>
      <c r="W256" s="9">
        <v>0</v>
      </c>
      <c r="X256" s="9" t="s">
        <v>146</v>
      </c>
      <c r="Y256" s="9" t="s">
        <v>147</v>
      </c>
      <c r="Z256" s="9" t="s">
        <v>148</v>
      </c>
      <c r="AA256" s="9" t="s">
        <v>151</v>
      </c>
      <c r="AB256" s="12" t="s">
        <v>161</v>
      </c>
      <c r="AC256" s="9">
        <v>64</v>
      </c>
    </row>
    <row r="257" spans="1:29" ht="22.5" customHeight="1">
      <c r="A257" s="9" t="s">
        <v>29</v>
      </c>
      <c r="B257" s="9" t="s">
        <v>222</v>
      </c>
      <c r="C257" s="9" t="s">
        <v>113</v>
      </c>
      <c r="D257" s="9" t="s">
        <v>76</v>
      </c>
      <c r="E257" s="9" t="s">
        <v>32</v>
      </c>
      <c r="F257" s="9" t="s">
        <v>33</v>
      </c>
      <c r="G257" s="9">
        <v>2</v>
      </c>
      <c r="H257" s="10"/>
      <c r="I257" s="9" t="s">
        <v>186</v>
      </c>
      <c r="J257" s="9" t="s">
        <v>481</v>
      </c>
      <c r="K257" s="9"/>
      <c r="L257" s="9"/>
      <c r="M257" s="10" t="s">
        <v>510</v>
      </c>
      <c r="N257" s="10" t="str">
        <f>IFERROR(VLOOKUP(M257,[1]DESC!A:B,2,FALSE),"")</f>
        <v/>
      </c>
      <c r="O257" s="9" t="s">
        <v>116</v>
      </c>
      <c r="P257" s="9" t="s">
        <v>117</v>
      </c>
      <c r="Q257" s="9" t="s">
        <v>118</v>
      </c>
      <c r="R257" s="9" t="s">
        <v>146</v>
      </c>
      <c r="S257" s="9" t="s">
        <v>147</v>
      </c>
      <c r="T257" s="11" t="s">
        <v>148</v>
      </c>
      <c r="U257" s="12" t="s">
        <v>149</v>
      </c>
      <c r="V257" s="12" t="s">
        <v>150</v>
      </c>
      <c r="W257" s="9">
        <v>0</v>
      </c>
      <c r="X257" s="9" t="s">
        <v>146</v>
      </c>
      <c r="Y257" s="9" t="s">
        <v>147</v>
      </c>
      <c r="Z257" s="9" t="s">
        <v>148</v>
      </c>
      <c r="AA257" s="9" t="s">
        <v>151</v>
      </c>
      <c r="AB257" s="12" t="s">
        <v>161</v>
      </c>
      <c r="AC257" s="9">
        <v>64</v>
      </c>
    </row>
    <row r="258" spans="1:29" ht="22.5" customHeight="1">
      <c r="A258" s="9" t="s">
        <v>29</v>
      </c>
      <c r="B258" s="9" t="s">
        <v>222</v>
      </c>
      <c r="C258" s="9" t="s">
        <v>113</v>
      </c>
      <c r="D258" s="9" t="s">
        <v>76</v>
      </c>
      <c r="E258" s="9" t="s">
        <v>32</v>
      </c>
      <c r="F258" s="9" t="s">
        <v>33</v>
      </c>
      <c r="G258" s="9">
        <v>2</v>
      </c>
      <c r="H258" s="10"/>
      <c r="I258" s="9" t="s">
        <v>194</v>
      </c>
      <c r="J258" s="9" t="s">
        <v>481</v>
      </c>
      <c r="K258" s="9"/>
      <c r="L258" s="9"/>
      <c r="M258" s="10" t="s">
        <v>510</v>
      </c>
      <c r="N258" s="10" t="str">
        <f>IFERROR(VLOOKUP(M258,[1]DESC!A:B,2,FALSE),"")</f>
        <v/>
      </c>
      <c r="O258" s="9" t="s">
        <v>116</v>
      </c>
      <c r="P258" s="9" t="s">
        <v>117</v>
      </c>
      <c r="Q258" s="9" t="s">
        <v>118</v>
      </c>
      <c r="R258" s="9" t="s">
        <v>146</v>
      </c>
      <c r="S258" s="9" t="s">
        <v>147</v>
      </c>
      <c r="T258" s="11" t="s">
        <v>148</v>
      </c>
      <c r="U258" s="12" t="s">
        <v>149</v>
      </c>
      <c r="V258" s="12" t="s">
        <v>150</v>
      </c>
      <c r="W258" s="9">
        <v>0</v>
      </c>
      <c r="X258" s="9" t="s">
        <v>146</v>
      </c>
      <c r="Y258" s="9" t="s">
        <v>147</v>
      </c>
      <c r="Z258" s="9" t="s">
        <v>148</v>
      </c>
      <c r="AA258" s="9" t="s">
        <v>151</v>
      </c>
      <c r="AB258" s="12" t="s">
        <v>161</v>
      </c>
      <c r="AC258" s="9">
        <v>64</v>
      </c>
    </row>
    <row r="259" spans="1:29" ht="22.5" customHeight="1">
      <c r="A259" s="9" t="s">
        <v>29</v>
      </c>
      <c r="B259" s="9" t="s">
        <v>222</v>
      </c>
      <c r="C259" s="9" t="s">
        <v>113</v>
      </c>
      <c r="D259" s="9" t="s">
        <v>76</v>
      </c>
      <c r="E259" s="9" t="s">
        <v>32</v>
      </c>
      <c r="F259" s="9" t="s">
        <v>33</v>
      </c>
      <c r="G259" s="9">
        <v>2</v>
      </c>
      <c r="H259" s="10"/>
      <c r="I259" s="9" t="s">
        <v>483</v>
      </c>
      <c r="J259" s="9" t="s">
        <v>481</v>
      </c>
      <c r="K259" s="9"/>
      <c r="L259" s="9"/>
      <c r="M259" s="10" t="s">
        <v>510</v>
      </c>
      <c r="N259" s="10" t="str">
        <f>IFERROR(VLOOKUP(M259,[1]DESC!A:B,2,FALSE),"")</f>
        <v/>
      </c>
      <c r="O259" s="9" t="s">
        <v>116</v>
      </c>
      <c r="P259" s="9" t="s">
        <v>117</v>
      </c>
      <c r="Q259" s="9" t="s">
        <v>118</v>
      </c>
      <c r="R259" s="9" t="s">
        <v>146</v>
      </c>
      <c r="S259" s="9" t="s">
        <v>147</v>
      </c>
      <c r="T259" s="11" t="s">
        <v>148</v>
      </c>
      <c r="U259" s="12" t="s">
        <v>149</v>
      </c>
      <c r="V259" s="12" t="s">
        <v>150</v>
      </c>
      <c r="W259" s="9">
        <v>0</v>
      </c>
      <c r="X259" s="9" t="s">
        <v>146</v>
      </c>
      <c r="Y259" s="9" t="s">
        <v>147</v>
      </c>
      <c r="Z259" s="9" t="s">
        <v>148</v>
      </c>
      <c r="AA259" s="9" t="s">
        <v>151</v>
      </c>
      <c r="AB259" s="12" t="s">
        <v>161</v>
      </c>
      <c r="AC259" s="9">
        <v>64</v>
      </c>
    </row>
    <row r="260" spans="1:29" ht="22.5" customHeight="1">
      <c r="A260" s="9" t="s">
        <v>29</v>
      </c>
      <c r="B260" s="9" t="s">
        <v>222</v>
      </c>
      <c r="C260" s="9" t="s">
        <v>113</v>
      </c>
      <c r="D260" s="9" t="s">
        <v>76</v>
      </c>
      <c r="E260" s="9" t="s">
        <v>32</v>
      </c>
      <c r="F260" s="9" t="s">
        <v>33</v>
      </c>
      <c r="G260" s="9">
        <v>2</v>
      </c>
      <c r="H260" s="10"/>
      <c r="I260" s="9" t="s">
        <v>501</v>
      </c>
      <c r="J260" s="9" t="s">
        <v>481</v>
      </c>
      <c r="K260" s="9"/>
      <c r="L260" s="9"/>
      <c r="M260" s="10" t="s">
        <v>510</v>
      </c>
      <c r="N260" s="10" t="str">
        <f>IFERROR(VLOOKUP(M260,[1]DESC!A:B,2,FALSE),"")</f>
        <v/>
      </c>
      <c r="O260" s="9" t="s">
        <v>116</v>
      </c>
      <c r="P260" s="9" t="s">
        <v>117</v>
      </c>
      <c r="Q260" s="9" t="s">
        <v>118</v>
      </c>
      <c r="R260" s="9" t="s">
        <v>146</v>
      </c>
      <c r="S260" s="9" t="s">
        <v>147</v>
      </c>
      <c r="T260" s="11" t="s">
        <v>148</v>
      </c>
      <c r="U260" s="12" t="s">
        <v>149</v>
      </c>
      <c r="V260" s="12" t="s">
        <v>150</v>
      </c>
      <c r="W260" s="9">
        <v>0</v>
      </c>
      <c r="X260" s="9" t="s">
        <v>146</v>
      </c>
      <c r="Y260" s="9" t="s">
        <v>147</v>
      </c>
      <c r="Z260" s="9" t="s">
        <v>148</v>
      </c>
      <c r="AA260" s="9" t="s">
        <v>151</v>
      </c>
      <c r="AB260" s="12" t="s">
        <v>161</v>
      </c>
      <c r="AC260" s="9">
        <v>64</v>
      </c>
    </row>
    <row r="261" spans="1:29" ht="22.5" customHeight="1">
      <c r="A261" s="9" t="s">
        <v>29</v>
      </c>
      <c r="B261" s="9" t="s">
        <v>222</v>
      </c>
      <c r="C261" s="9" t="s">
        <v>113</v>
      </c>
      <c r="D261" s="9" t="s">
        <v>76</v>
      </c>
      <c r="E261" s="9" t="s">
        <v>32</v>
      </c>
      <c r="F261" s="9" t="s">
        <v>33</v>
      </c>
      <c r="G261" s="9">
        <v>2</v>
      </c>
      <c r="H261" s="10"/>
      <c r="I261" s="9" t="s">
        <v>491</v>
      </c>
      <c r="J261" s="9" t="s">
        <v>481</v>
      </c>
      <c r="K261" s="9"/>
      <c r="L261" s="9"/>
      <c r="M261" s="10" t="s">
        <v>510</v>
      </c>
      <c r="N261" s="10" t="str">
        <f>IFERROR(VLOOKUP(M261,[1]DESC!A:B,2,FALSE),"")</f>
        <v/>
      </c>
      <c r="O261" s="9" t="s">
        <v>116</v>
      </c>
      <c r="P261" s="9" t="s">
        <v>117</v>
      </c>
      <c r="Q261" s="9" t="s">
        <v>118</v>
      </c>
      <c r="R261" s="9" t="s">
        <v>146</v>
      </c>
      <c r="S261" s="9" t="s">
        <v>147</v>
      </c>
      <c r="T261" s="11" t="s">
        <v>148</v>
      </c>
      <c r="U261" s="12" t="s">
        <v>149</v>
      </c>
      <c r="V261" s="12" t="s">
        <v>150</v>
      </c>
      <c r="W261" s="9">
        <v>0</v>
      </c>
      <c r="X261" s="9" t="s">
        <v>146</v>
      </c>
      <c r="Y261" s="9" t="s">
        <v>147</v>
      </c>
      <c r="Z261" s="9" t="s">
        <v>148</v>
      </c>
      <c r="AA261" s="9" t="s">
        <v>151</v>
      </c>
      <c r="AB261" s="12" t="s">
        <v>161</v>
      </c>
      <c r="AC261" s="9">
        <v>64</v>
      </c>
    </row>
    <row r="262" spans="1:29" ht="22.5" customHeight="1">
      <c r="A262" s="9" t="s">
        <v>29</v>
      </c>
      <c r="B262" s="9" t="s">
        <v>222</v>
      </c>
      <c r="C262" s="9" t="s">
        <v>113</v>
      </c>
      <c r="D262" s="9" t="s">
        <v>76</v>
      </c>
      <c r="E262" s="9" t="s">
        <v>32</v>
      </c>
      <c r="F262" s="9" t="s">
        <v>33</v>
      </c>
      <c r="G262" s="9">
        <v>2</v>
      </c>
      <c r="H262" s="10"/>
      <c r="I262" s="9" t="s">
        <v>499</v>
      </c>
      <c r="J262" s="9" t="s">
        <v>481</v>
      </c>
      <c r="K262" s="9"/>
      <c r="L262" s="9"/>
      <c r="M262" s="10" t="s">
        <v>510</v>
      </c>
      <c r="N262" s="10" t="str">
        <f>IFERROR(VLOOKUP(M262,[1]DESC!A:B,2,FALSE),"")</f>
        <v/>
      </c>
      <c r="O262" s="9" t="s">
        <v>116</v>
      </c>
      <c r="P262" s="9" t="s">
        <v>117</v>
      </c>
      <c r="Q262" s="9" t="s">
        <v>118</v>
      </c>
      <c r="R262" s="9" t="s">
        <v>146</v>
      </c>
      <c r="S262" s="9" t="s">
        <v>147</v>
      </c>
      <c r="T262" s="11" t="s">
        <v>148</v>
      </c>
      <c r="U262" s="12" t="s">
        <v>149</v>
      </c>
      <c r="V262" s="12" t="s">
        <v>150</v>
      </c>
      <c r="W262" s="9">
        <v>0</v>
      </c>
      <c r="X262" s="9" t="s">
        <v>146</v>
      </c>
      <c r="Y262" s="9" t="s">
        <v>147</v>
      </c>
      <c r="Z262" s="9" t="s">
        <v>148</v>
      </c>
      <c r="AA262" s="9" t="s">
        <v>151</v>
      </c>
      <c r="AB262" s="12" t="s">
        <v>161</v>
      </c>
      <c r="AC262" s="9">
        <v>64</v>
      </c>
    </row>
    <row r="263" spans="1:29" ht="22.5" customHeight="1">
      <c r="A263" s="9" t="s">
        <v>29</v>
      </c>
      <c r="B263" s="9" t="s">
        <v>222</v>
      </c>
      <c r="C263" s="9" t="s">
        <v>113</v>
      </c>
      <c r="D263" s="9" t="s">
        <v>76</v>
      </c>
      <c r="E263" s="9" t="s">
        <v>32</v>
      </c>
      <c r="F263" s="9" t="s">
        <v>33</v>
      </c>
      <c r="G263" s="9">
        <v>2</v>
      </c>
      <c r="H263" s="10"/>
      <c r="I263" s="9" t="s">
        <v>198</v>
      </c>
      <c r="J263" s="9" t="s">
        <v>481</v>
      </c>
      <c r="K263" s="9"/>
      <c r="L263" s="9"/>
      <c r="M263" s="10" t="s">
        <v>510</v>
      </c>
      <c r="N263" s="10" t="str">
        <f>IFERROR(VLOOKUP(M263,[1]DESC!A:B,2,FALSE),"")</f>
        <v/>
      </c>
      <c r="O263" s="9" t="s">
        <v>116</v>
      </c>
      <c r="P263" s="9" t="s">
        <v>117</v>
      </c>
      <c r="Q263" s="9" t="s">
        <v>118</v>
      </c>
      <c r="R263" s="9" t="s">
        <v>146</v>
      </c>
      <c r="S263" s="9" t="s">
        <v>147</v>
      </c>
      <c r="T263" s="11" t="s">
        <v>148</v>
      </c>
      <c r="U263" s="12" t="s">
        <v>149</v>
      </c>
      <c r="V263" s="12" t="s">
        <v>150</v>
      </c>
      <c r="W263" s="9">
        <v>0</v>
      </c>
      <c r="X263" s="9" t="s">
        <v>146</v>
      </c>
      <c r="Y263" s="9" t="s">
        <v>147</v>
      </c>
      <c r="Z263" s="9" t="s">
        <v>148</v>
      </c>
      <c r="AA263" s="9" t="s">
        <v>151</v>
      </c>
      <c r="AB263" s="12" t="s">
        <v>161</v>
      </c>
      <c r="AC263" s="9">
        <v>64</v>
      </c>
    </row>
    <row r="264" spans="1:29" ht="22.5" customHeight="1">
      <c r="A264" s="9" t="s">
        <v>29</v>
      </c>
      <c r="B264" s="9" t="s">
        <v>222</v>
      </c>
      <c r="C264" s="9" t="s">
        <v>113</v>
      </c>
      <c r="D264" s="9" t="s">
        <v>76</v>
      </c>
      <c r="E264" s="9" t="s">
        <v>32</v>
      </c>
      <c r="F264" s="9" t="s">
        <v>33</v>
      </c>
      <c r="G264" s="9">
        <v>2</v>
      </c>
      <c r="H264" s="10"/>
      <c r="I264" s="9" t="s">
        <v>508</v>
      </c>
      <c r="J264" s="9" t="s">
        <v>481</v>
      </c>
      <c r="K264" s="9"/>
      <c r="L264" s="9"/>
      <c r="M264" s="10" t="s">
        <v>510</v>
      </c>
      <c r="N264" s="10" t="str">
        <f>IFERROR(VLOOKUP(M264,[1]DESC!A:B,2,FALSE),"")</f>
        <v/>
      </c>
      <c r="O264" s="9" t="s">
        <v>116</v>
      </c>
      <c r="P264" s="9" t="s">
        <v>117</v>
      </c>
      <c r="Q264" s="9" t="s">
        <v>118</v>
      </c>
      <c r="R264" s="9" t="s">
        <v>146</v>
      </c>
      <c r="S264" s="9" t="s">
        <v>147</v>
      </c>
      <c r="T264" s="11" t="s">
        <v>148</v>
      </c>
      <c r="U264" s="12" t="s">
        <v>149</v>
      </c>
      <c r="V264" s="12" t="s">
        <v>150</v>
      </c>
      <c r="W264" s="9">
        <v>0</v>
      </c>
      <c r="X264" s="9" t="s">
        <v>146</v>
      </c>
      <c r="Y264" s="9" t="s">
        <v>147</v>
      </c>
      <c r="Z264" s="9" t="s">
        <v>148</v>
      </c>
      <c r="AA264" s="9" t="s">
        <v>151</v>
      </c>
      <c r="AB264" s="12" t="s">
        <v>161</v>
      </c>
      <c r="AC264" s="9">
        <v>64</v>
      </c>
    </row>
    <row r="265" spans="1:29" ht="22.5" customHeight="1">
      <c r="A265" s="9" t="s">
        <v>29</v>
      </c>
      <c r="B265" s="9" t="s">
        <v>222</v>
      </c>
      <c r="C265" s="9" t="s">
        <v>113</v>
      </c>
      <c r="D265" s="9" t="s">
        <v>76</v>
      </c>
      <c r="E265" s="9" t="s">
        <v>32</v>
      </c>
      <c r="F265" s="9" t="s">
        <v>33</v>
      </c>
      <c r="G265" s="9">
        <v>2</v>
      </c>
      <c r="H265" s="10"/>
      <c r="I265" s="9" t="s">
        <v>497</v>
      </c>
      <c r="J265" s="9" t="s">
        <v>481</v>
      </c>
      <c r="K265" s="9"/>
      <c r="L265" s="9"/>
      <c r="M265" s="10" t="s">
        <v>510</v>
      </c>
      <c r="N265" s="10" t="str">
        <f>IFERROR(VLOOKUP(M265,[1]DESC!A:B,2,FALSE),"")</f>
        <v/>
      </c>
      <c r="O265" s="9" t="s">
        <v>116</v>
      </c>
      <c r="P265" s="9" t="s">
        <v>117</v>
      </c>
      <c r="Q265" s="9" t="s">
        <v>118</v>
      </c>
      <c r="R265" s="9" t="s">
        <v>146</v>
      </c>
      <c r="S265" s="9" t="s">
        <v>147</v>
      </c>
      <c r="T265" s="11" t="s">
        <v>148</v>
      </c>
      <c r="U265" s="12" t="s">
        <v>149</v>
      </c>
      <c r="V265" s="12" t="s">
        <v>150</v>
      </c>
      <c r="W265" s="9">
        <v>0</v>
      </c>
      <c r="X265" s="9" t="s">
        <v>146</v>
      </c>
      <c r="Y265" s="9" t="s">
        <v>147</v>
      </c>
      <c r="Z265" s="9" t="s">
        <v>148</v>
      </c>
      <c r="AA265" s="9" t="s">
        <v>151</v>
      </c>
      <c r="AB265" s="12" t="s">
        <v>161</v>
      </c>
      <c r="AC265" s="9">
        <v>64</v>
      </c>
    </row>
    <row r="266" spans="1:29" ht="22.5" customHeight="1">
      <c r="A266" s="9" t="s">
        <v>29</v>
      </c>
      <c r="B266" s="9" t="s">
        <v>222</v>
      </c>
      <c r="C266" s="9" t="s">
        <v>113</v>
      </c>
      <c r="D266" s="9" t="s">
        <v>76</v>
      </c>
      <c r="E266" s="9" t="s">
        <v>32</v>
      </c>
      <c r="F266" s="9" t="s">
        <v>33</v>
      </c>
      <c r="G266" s="9">
        <v>2</v>
      </c>
      <c r="H266" s="10"/>
      <c r="I266" s="9" t="s">
        <v>486</v>
      </c>
      <c r="J266" s="9" t="s">
        <v>481</v>
      </c>
      <c r="K266" s="9"/>
      <c r="L266" s="9"/>
      <c r="M266" s="10" t="s">
        <v>510</v>
      </c>
      <c r="N266" s="10" t="str">
        <f>IFERROR(VLOOKUP(M266,[1]DESC!A:B,2,FALSE),"")</f>
        <v/>
      </c>
      <c r="O266" s="9" t="s">
        <v>116</v>
      </c>
      <c r="P266" s="9" t="s">
        <v>117</v>
      </c>
      <c r="Q266" s="9" t="s">
        <v>118</v>
      </c>
      <c r="R266" s="9" t="s">
        <v>146</v>
      </c>
      <c r="S266" s="9" t="s">
        <v>147</v>
      </c>
      <c r="T266" s="11" t="s">
        <v>148</v>
      </c>
      <c r="U266" s="12" t="s">
        <v>149</v>
      </c>
      <c r="V266" s="12" t="s">
        <v>150</v>
      </c>
      <c r="W266" s="9">
        <v>0</v>
      </c>
      <c r="X266" s="9" t="s">
        <v>146</v>
      </c>
      <c r="Y266" s="9" t="s">
        <v>147</v>
      </c>
      <c r="Z266" s="9" t="s">
        <v>148</v>
      </c>
      <c r="AA266" s="9" t="s">
        <v>151</v>
      </c>
      <c r="AB266" s="12" t="s">
        <v>161</v>
      </c>
      <c r="AC266" s="9">
        <v>64</v>
      </c>
    </row>
    <row r="267" spans="1:29" ht="22.5" customHeight="1">
      <c r="A267" s="9" t="s">
        <v>29</v>
      </c>
      <c r="B267" s="9" t="s">
        <v>222</v>
      </c>
      <c r="C267" s="9" t="s">
        <v>113</v>
      </c>
      <c r="D267" s="9" t="s">
        <v>76</v>
      </c>
      <c r="E267" s="9" t="s">
        <v>32</v>
      </c>
      <c r="F267" s="9" t="s">
        <v>33</v>
      </c>
      <c r="G267" s="9">
        <v>2</v>
      </c>
      <c r="H267" s="10"/>
      <c r="I267" s="9" t="s">
        <v>496</v>
      </c>
      <c r="J267" s="9" t="s">
        <v>481</v>
      </c>
      <c r="K267" s="9"/>
      <c r="L267" s="9"/>
      <c r="M267" s="10" t="s">
        <v>510</v>
      </c>
      <c r="N267" s="10" t="str">
        <f>IFERROR(VLOOKUP(M267,[1]DESC!A:B,2,FALSE),"")</f>
        <v/>
      </c>
      <c r="O267" s="9" t="s">
        <v>116</v>
      </c>
      <c r="P267" s="9" t="s">
        <v>117</v>
      </c>
      <c r="Q267" s="9" t="s">
        <v>118</v>
      </c>
      <c r="R267" s="9" t="s">
        <v>146</v>
      </c>
      <c r="S267" s="9" t="s">
        <v>147</v>
      </c>
      <c r="T267" s="11" t="s">
        <v>148</v>
      </c>
      <c r="U267" s="12" t="s">
        <v>149</v>
      </c>
      <c r="V267" s="12" t="s">
        <v>150</v>
      </c>
      <c r="W267" s="9">
        <v>0</v>
      </c>
      <c r="X267" s="9" t="s">
        <v>146</v>
      </c>
      <c r="Y267" s="9" t="s">
        <v>147</v>
      </c>
      <c r="Z267" s="9" t="s">
        <v>148</v>
      </c>
      <c r="AA267" s="9" t="s">
        <v>151</v>
      </c>
      <c r="AB267" s="12" t="s">
        <v>161</v>
      </c>
      <c r="AC267" s="9">
        <v>64</v>
      </c>
    </row>
    <row r="268" spans="1:29" ht="22.5" customHeight="1">
      <c r="A268" s="9" t="s">
        <v>29</v>
      </c>
      <c r="B268" s="9" t="s">
        <v>222</v>
      </c>
      <c r="C268" s="9" t="s">
        <v>113</v>
      </c>
      <c r="D268" s="9" t="s">
        <v>76</v>
      </c>
      <c r="E268" s="9" t="s">
        <v>32</v>
      </c>
      <c r="F268" s="9" t="s">
        <v>33</v>
      </c>
      <c r="G268" s="9">
        <v>2</v>
      </c>
      <c r="H268" s="10"/>
      <c r="I268" s="9" t="s">
        <v>507</v>
      </c>
      <c r="J268" s="9" t="s">
        <v>481</v>
      </c>
      <c r="K268" s="9"/>
      <c r="L268" s="9"/>
      <c r="M268" s="10" t="s">
        <v>510</v>
      </c>
      <c r="N268" s="10" t="str">
        <f>IFERROR(VLOOKUP(M268,[1]DESC!A:B,2,FALSE),"")</f>
        <v/>
      </c>
      <c r="O268" s="9" t="s">
        <v>116</v>
      </c>
      <c r="P268" s="9" t="s">
        <v>117</v>
      </c>
      <c r="Q268" s="9" t="s">
        <v>118</v>
      </c>
      <c r="R268" s="9" t="s">
        <v>146</v>
      </c>
      <c r="S268" s="9" t="s">
        <v>147</v>
      </c>
      <c r="T268" s="11" t="s">
        <v>148</v>
      </c>
      <c r="U268" s="12" t="s">
        <v>149</v>
      </c>
      <c r="V268" s="12" t="s">
        <v>150</v>
      </c>
      <c r="W268" s="9">
        <v>0</v>
      </c>
      <c r="X268" s="9" t="s">
        <v>146</v>
      </c>
      <c r="Y268" s="9" t="s">
        <v>147</v>
      </c>
      <c r="Z268" s="9" t="s">
        <v>148</v>
      </c>
      <c r="AA268" s="9" t="s">
        <v>151</v>
      </c>
      <c r="AB268" s="12" t="s">
        <v>161</v>
      </c>
      <c r="AC268" s="9">
        <v>64</v>
      </c>
    </row>
    <row r="269" spans="1:29" ht="22.5" customHeight="1">
      <c r="A269" s="9" t="s">
        <v>29</v>
      </c>
      <c r="B269" s="9" t="s">
        <v>222</v>
      </c>
      <c r="C269" s="9" t="s">
        <v>113</v>
      </c>
      <c r="D269" s="9" t="s">
        <v>76</v>
      </c>
      <c r="E269" s="9" t="s">
        <v>32</v>
      </c>
      <c r="F269" s="9" t="s">
        <v>33</v>
      </c>
      <c r="G269" s="9">
        <v>2</v>
      </c>
      <c r="H269" s="10"/>
      <c r="I269" s="9" t="s">
        <v>202</v>
      </c>
      <c r="J269" s="9" t="s">
        <v>481</v>
      </c>
      <c r="K269" s="9"/>
      <c r="L269" s="9"/>
      <c r="M269" s="10" t="s">
        <v>510</v>
      </c>
      <c r="N269" s="10" t="str">
        <f>IFERROR(VLOOKUP(M269,[1]DESC!A:B,2,FALSE),"")</f>
        <v/>
      </c>
      <c r="O269" s="9" t="s">
        <v>116</v>
      </c>
      <c r="P269" s="9" t="s">
        <v>117</v>
      </c>
      <c r="Q269" s="9" t="s">
        <v>118</v>
      </c>
      <c r="R269" s="9" t="s">
        <v>146</v>
      </c>
      <c r="S269" s="9" t="s">
        <v>147</v>
      </c>
      <c r="T269" s="11" t="s">
        <v>148</v>
      </c>
      <c r="U269" s="12" t="s">
        <v>149</v>
      </c>
      <c r="V269" s="12" t="s">
        <v>150</v>
      </c>
      <c r="W269" s="9">
        <v>0</v>
      </c>
      <c r="X269" s="9" t="s">
        <v>146</v>
      </c>
      <c r="Y269" s="9" t="s">
        <v>147</v>
      </c>
      <c r="Z269" s="9" t="s">
        <v>148</v>
      </c>
      <c r="AA269" s="9" t="s">
        <v>151</v>
      </c>
      <c r="AB269" s="12" t="s">
        <v>161</v>
      </c>
      <c r="AC269" s="9">
        <v>64</v>
      </c>
    </row>
    <row r="270" spans="1:29" ht="22.5" customHeight="1">
      <c r="A270" s="9" t="s">
        <v>29</v>
      </c>
      <c r="B270" s="9" t="s">
        <v>222</v>
      </c>
      <c r="C270" s="9" t="s">
        <v>113</v>
      </c>
      <c r="D270" s="9" t="s">
        <v>76</v>
      </c>
      <c r="E270" s="9" t="s">
        <v>32</v>
      </c>
      <c r="F270" s="9" t="s">
        <v>33</v>
      </c>
      <c r="G270" s="9">
        <v>2</v>
      </c>
      <c r="H270" s="10"/>
      <c r="I270" s="9" t="s">
        <v>201</v>
      </c>
      <c r="J270" s="9" t="s">
        <v>481</v>
      </c>
      <c r="K270" s="9"/>
      <c r="L270" s="9"/>
      <c r="M270" s="10" t="s">
        <v>510</v>
      </c>
      <c r="N270" s="10" t="str">
        <f>IFERROR(VLOOKUP(M270,[1]DESC!A:B,2,FALSE),"")</f>
        <v/>
      </c>
      <c r="O270" s="9" t="s">
        <v>116</v>
      </c>
      <c r="P270" s="9" t="s">
        <v>117</v>
      </c>
      <c r="Q270" s="9" t="s">
        <v>118</v>
      </c>
      <c r="R270" s="9" t="s">
        <v>146</v>
      </c>
      <c r="S270" s="9" t="s">
        <v>147</v>
      </c>
      <c r="T270" s="11" t="s">
        <v>148</v>
      </c>
      <c r="U270" s="12" t="s">
        <v>149</v>
      </c>
      <c r="V270" s="12" t="s">
        <v>150</v>
      </c>
      <c r="W270" s="9">
        <v>0</v>
      </c>
      <c r="X270" s="9" t="s">
        <v>146</v>
      </c>
      <c r="Y270" s="9" t="s">
        <v>147</v>
      </c>
      <c r="Z270" s="9" t="s">
        <v>148</v>
      </c>
      <c r="AA270" s="9" t="s">
        <v>151</v>
      </c>
      <c r="AB270" s="12" t="s">
        <v>161</v>
      </c>
      <c r="AC270" s="9">
        <v>64</v>
      </c>
    </row>
    <row r="271" spans="1:29" ht="22.5" customHeight="1">
      <c r="A271" s="9" t="s">
        <v>29</v>
      </c>
      <c r="B271" s="9" t="s">
        <v>222</v>
      </c>
      <c r="C271" s="9" t="s">
        <v>113</v>
      </c>
      <c r="D271" s="9" t="s">
        <v>76</v>
      </c>
      <c r="E271" s="9" t="s">
        <v>32</v>
      </c>
      <c r="F271" s="9" t="s">
        <v>33</v>
      </c>
      <c r="G271" s="9">
        <v>2</v>
      </c>
      <c r="H271" s="10"/>
      <c r="I271" s="9" t="s">
        <v>188</v>
      </c>
      <c r="J271" s="9" t="s">
        <v>481</v>
      </c>
      <c r="K271" s="9"/>
      <c r="L271" s="9"/>
      <c r="M271" s="10" t="s">
        <v>510</v>
      </c>
      <c r="N271" s="10" t="str">
        <f>IFERROR(VLOOKUP(M271,[1]DESC!A:B,2,FALSE),"")</f>
        <v/>
      </c>
      <c r="O271" s="9" t="s">
        <v>116</v>
      </c>
      <c r="P271" s="9" t="s">
        <v>117</v>
      </c>
      <c r="Q271" s="9" t="s">
        <v>118</v>
      </c>
      <c r="R271" s="9" t="s">
        <v>146</v>
      </c>
      <c r="S271" s="9" t="s">
        <v>147</v>
      </c>
      <c r="T271" s="11" t="s">
        <v>148</v>
      </c>
      <c r="U271" s="12" t="s">
        <v>149</v>
      </c>
      <c r="V271" s="12" t="s">
        <v>150</v>
      </c>
      <c r="W271" s="9">
        <v>0</v>
      </c>
      <c r="X271" s="9" t="s">
        <v>146</v>
      </c>
      <c r="Y271" s="9" t="s">
        <v>147</v>
      </c>
      <c r="Z271" s="9" t="s">
        <v>148</v>
      </c>
      <c r="AA271" s="9" t="s">
        <v>151</v>
      </c>
      <c r="AB271" s="12" t="s">
        <v>161</v>
      </c>
      <c r="AC271" s="9">
        <v>64</v>
      </c>
    </row>
    <row r="272" spans="1:29" ht="22.5" customHeight="1">
      <c r="A272" s="9" t="s">
        <v>29</v>
      </c>
      <c r="B272" s="9" t="s">
        <v>222</v>
      </c>
      <c r="C272" s="9" t="s">
        <v>113</v>
      </c>
      <c r="D272" s="9" t="s">
        <v>76</v>
      </c>
      <c r="E272" s="9" t="s">
        <v>32</v>
      </c>
      <c r="F272" s="9" t="s">
        <v>33</v>
      </c>
      <c r="G272" s="9">
        <v>2</v>
      </c>
      <c r="H272" s="10"/>
      <c r="I272" s="9" t="s">
        <v>506</v>
      </c>
      <c r="J272" s="9" t="s">
        <v>481</v>
      </c>
      <c r="K272" s="9"/>
      <c r="L272" s="9"/>
      <c r="M272" s="10" t="s">
        <v>510</v>
      </c>
      <c r="N272" s="10" t="str">
        <f>IFERROR(VLOOKUP(M272,[1]DESC!A:B,2,FALSE),"")</f>
        <v/>
      </c>
      <c r="O272" s="9" t="s">
        <v>116</v>
      </c>
      <c r="P272" s="9" t="s">
        <v>117</v>
      </c>
      <c r="Q272" s="9" t="s">
        <v>118</v>
      </c>
      <c r="R272" s="9" t="s">
        <v>146</v>
      </c>
      <c r="S272" s="9" t="s">
        <v>147</v>
      </c>
      <c r="T272" s="11" t="s">
        <v>148</v>
      </c>
      <c r="U272" s="12" t="s">
        <v>149</v>
      </c>
      <c r="V272" s="12" t="s">
        <v>150</v>
      </c>
      <c r="W272" s="9">
        <v>0</v>
      </c>
      <c r="X272" s="9" t="s">
        <v>146</v>
      </c>
      <c r="Y272" s="9" t="s">
        <v>147</v>
      </c>
      <c r="Z272" s="9" t="s">
        <v>148</v>
      </c>
      <c r="AA272" s="9" t="s">
        <v>151</v>
      </c>
      <c r="AB272" s="12" t="s">
        <v>161</v>
      </c>
      <c r="AC272" s="9">
        <v>64</v>
      </c>
    </row>
    <row r="273" spans="1:29" ht="22.5" customHeight="1">
      <c r="A273" s="9" t="s">
        <v>29</v>
      </c>
      <c r="B273" s="9" t="s">
        <v>222</v>
      </c>
      <c r="C273" s="9" t="s">
        <v>113</v>
      </c>
      <c r="D273" s="9" t="s">
        <v>76</v>
      </c>
      <c r="E273" s="9" t="s">
        <v>32</v>
      </c>
      <c r="F273" s="9" t="s">
        <v>33</v>
      </c>
      <c r="G273" s="9">
        <v>2</v>
      </c>
      <c r="H273" s="10"/>
      <c r="I273" s="9" t="s">
        <v>503</v>
      </c>
      <c r="J273" s="9" t="s">
        <v>481</v>
      </c>
      <c r="K273" s="9"/>
      <c r="L273" s="9"/>
      <c r="M273" s="10" t="s">
        <v>510</v>
      </c>
      <c r="N273" s="10" t="str">
        <f>IFERROR(VLOOKUP(M273,[1]DESC!A:B,2,FALSE),"")</f>
        <v/>
      </c>
      <c r="O273" s="9" t="s">
        <v>116</v>
      </c>
      <c r="P273" s="9" t="s">
        <v>117</v>
      </c>
      <c r="Q273" s="9" t="s">
        <v>118</v>
      </c>
      <c r="R273" s="9" t="s">
        <v>146</v>
      </c>
      <c r="S273" s="9" t="s">
        <v>147</v>
      </c>
      <c r="T273" s="11" t="s">
        <v>148</v>
      </c>
      <c r="U273" s="12" t="s">
        <v>149</v>
      </c>
      <c r="V273" s="12" t="s">
        <v>150</v>
      </c>
      <c r="W273" s="9">
        <v>0</v>
      </c>
      <c r="X273" s="9" t="s">
        <v>146</v>
      </c>
      <c r="Y273" s="9" t="s">
        <v>147</v>
      </c>
      <c r="Z273" s="9" t="s">
        <v>148</v>
      </c>
      <c r="AA273" s="9" t="s">
        <v>151</v>
      </c>
      <c r="AB273" s="12" t="s">
        <v>161</v>
      </c>
      <c r="AC273" s="9">
        <v>64</v>
      </c>
    </row>
    <row r="274" spans="1:29" ht="22.5" customHeight="1">
      <c r="A274" s="9" t="s">
        <v>29</v>
      </c>
      <c r="B274" s="9" t="s">
        <v>222</v>
      </c>
      <c r="C274" s="9" t="s">
        <v>113</v>
      </c>
      <c r="D274" s="9" t="s">
        <v>76</v>
      </c>
      <c r="E274" s="9" t="s">
        <v>32</v>
      </c>
      <c r="F274" s="9" t="s">
        <v>33</v>
      </c>
      <c r="G274" s="9">
        <v>2</v>
      </c>
      <c r="H274" s="10"/>
      <c r="I274" s="9" t="s">
        <v>184</v>
      </c>
      <c r="J274" s="9" t="s">
        <v>481</v>
      </c>
      <c r="K274" s="9"/>
      <c r="L274" s="9"/>
      <c r="M274" s="10" t="s">
        <v>510</v>
      </c>
      <c r="N274" s="10" t="str">
        <f>IFERROR(VLOOKUP(M274,[1]DESC!A:B,2,FALSE),"")</f>
        <v/>
      </c>
      <c r="O274" s="9" t="s">
        <v>116</v>
      </c>
      <c r="P274" s="9" t="s">
        <v>117</v>
      </c>
      <c r="Q274" s="9" t="s">
        <v>118</v>
      </c>
      <c r="R274" s="9" t="s">
        <v>146</v>
      </c>
      <c r="S274" s="9" t="s">
        <v>147</v>
      </c>
      <c r="T274" s="11" t="s">
        <v>148</v>
      </c>
      <c r="U274" s="12" t="s">
        <v>149</v>
      </c>
      <c r="V274" s="12" t="s">
        <v>150</v>
      </c>
      <c r="W274" s="9">
        <v>0</v>
      </c>
      <c r="X274" s="9" t="s">
        <v>146</v>
      </c>
      <c r="Y274" s="9" t="s">
        <v>147</v>
      </c>
      <c r="Z274" s="9" t="s">
        <v>148</v>
      </c>
      <c r="AA274" s="9" t="s">
        <v>151</v>
      </c>
      <c r="AB274" s="12" t="s">
        <v>161</v>
      </c>
      <c r="AC274" s="9">
        <v>64</v>
      </c>
    </row>
    <row r="275" spans="1:29" ht="22.5" customHeight="1">
      <c r="A275" s="9" t="s">
        <v>29</v>
      </c>
      <c r="B275" s="9" t="s">
        <v>518</v>
      </c>
      <c r="C275" s="9"/>
      <c r="D275" s="9" t="s">
        <v>31</v>
      </c>
      <c r="E275" s="9" t="s">
        <v>32</v>
      </c>
      <c r="F275" s="9" t="s">
        <v>33</v>
      </c>
      <c r="G275" s="9" t="s">
        <v>34</v>
      </c>
      <c r="H275" s="10" t="s">
        <v>519</v>
      </c>
      <c r="I275" s="9"/>
      <c r="J275" s="9" t="s">
        <v>49</v>
      </c>
      <c r="K275" s="9"/>
      <c r="L275" s="9"/>
      <c r="M275" s="10" t="s">
        <v>520</v>
      </c>
      <c r="N275" s="10" t="str">
        <f>IFERROR(VLOOKUP(M275,[1]DESC!A:B,2,FALSE),"")</f>
        <v/>
      </c>
      <c r="O275" s="9"/>
      <c r="P275" s="9"/>
      <c r="Q275" s="9"/>
      <c r="R275" s="9"/>
      <c r="S275" s="9"/>
      <c r="T275" s="11"/>
      <c r="U275" s="12" t="s">
        <v>57</v>
      </c>
      <c r="V275" s="12" t="s">
        <v>47</v>
      </c>
      <c r="W275" s="9">
        <v>10</v>
      </c>
      <c r="X275" s="9" t="s">
        <v>39</v>
      </c>
      <c r="Y275" s="9" t="s">
        <v>40</v>
      </c>
      <c r="Z275" s="9" t="s">
        <v>41</v>
      </c>
      <c r="AA275" s="9" t="s">
        <v>42</v>
      </c>
      <c r="AB275" s="9"/>
      <c r="AC275" s="9"/>
    </row>
    <row r="276" spans="1:29" ht="22.5" customHeight="1">
      <c r="A276" s="9" t="s">
        <v>29</v>
      </c>
      <c r="B276" s="9" t="s">
        <v>521</v>
      </c>
      <c r="C276" s="9"/>
      <c r="D276" s="9" t="s">
        <v>31</v>
      </c>
      <c r="E276" s="9" t="s">
        <v>44</v>
      </c>
      <c r="F276" s="9" t="s">
        <v>33</v>
      </c>
      <c r="G276" s="9" t="s">
        <v>34</v>
      </c>
      <c r="H276" s="10"/>
      <c r="I276" s="9"/>
      <c r="J276" s="9" t="s">
        <v>35</v>
      </c>
      <c r="K276" s="9"/>
      <c r="L276" s="9"/>
      <c r="M276" s="10" t="s">
        <v>522</v>
      </c>
      <c r="N276" s="10" t="str">
        <f>IFERROR(VLOOKUP(M276,[1]DESC!A:B,2,FALSE),"")</f>
        <v/>
      </c>
      <c r="O276" s="9"/>
      <c r="P276" s="9"/>
      <c r="Q276" s="9"/>
      <c r="R276" s="9"/>
      <c r="S276" s="9"/>
      <c r="T276" s="11"/>
      <c r="U276" s="12" t="s">
        <v>149</v>
      </c>
      <c r="V276" s="12" t="s">
        <v>438</v>
      </c>
      <c r="W276" s="9">
        <v>10</v>
      </c>
      <c r="X276" s="9" t="s">
        <v>39</v>
      </c>
      <c r="Y276" s="9" t="s">
        <v>40</v>
      </c>
      <c r="Z276" s="9" t="s">
        <v>41</v>
      </c>
      <c r="AA276" s="9" t="s">
        <v>42</v>
      </c>
      <c r="AB276" s="9"/>
      <c r="AC276" s="9"/>
    </row>
    <row r="277" spans="1:29" ht="22.5" customHeight="1">
      <c r="A277" s="9" t="s">
        <v>73</v>
      </c>
      <c r="B277" s="9" t="s">
        <v>523</v>
      </c>
      <c r="C277" s="9" t="s">
        <v>75</v>
      </c>
      <c r="D277" s="9" t="s">
        <v>76</v>
      </c>
      <c r="E277" s="9"/>
      <c r="F277" s="9"/>
      <c r="G277" s="9">
        <v>1</v>
      </c>
      <c r="H277" s="10"/>
      <c r="I277" s="9"/>
      <c r="J277" s="9" t="s">
        <v>77</v>
      </c>
      <c r="K277" s="13" t="s">
        <v>78</v>
      </c>
      <c r="L277" s="9"/>
      <c r="M277" s="10" t="s">
        <v>524</v>
      </c>
      <c r="N277" s="10" t="s">
        <v>525</v>
      </c>
      <c r="O277" s="9" t="s">
        <v>81</v>
      </c>
      <c r="P277" s="9" t="s">
        <v>82</v>
      </c>
      <c r="Q277" s="9" t="s">
        <v>83</v>
      </c>
      <c r="R277" s="9" t="s">
        <v>84</v>
      </c>
      <c r="S277" s="9" t="s">
        <v>85</v>
      </c>
      <c r="T277" s="11" t="s">
        <v>86</v>
      </c>
      <c r="U277" s="12" t="s">
        <v>87</v>
      </c>
      <c r="V277" s="12" t="s">
        <v>88</v>
      </c>
      <c r="W277" s="9">
        <v>0</v>
      </c>
      <c r="X277" s="9" t="s">
        <v>39</v>
      </c>
      <c r="Y277" s="9" t="s">
        <v>40</v>
      </c>
      <c r="Z277" s="9" t="s">
        <v>41</v>
      </c>
      <c r="AA277" s="9" t="s">
        <v>42</v>
      </c>
      <c r="AB277" s="12" t="s">
        <v>111</v>
      </c>
      <c r="AC277" s="9">
        <v>1</v>
      </c>
    </row>
    <row r="278" spans="1:29" ht="22.5" customHeight="1">
      <c r="A278" s="9" t="s">
        <v>73</v>
      </c>
      <c r="B278" s="9" t="s">
        <v>526</v>
      </c>
      <c r="C278" s="9" t="s">
        <v>75</v>
      </c>
      <c r="D278" s="9" t="s">
        <v>76</v>
      </c>
      <c r="E278" s="9"/>
      <c r="F278" s="9"/>
      <c r="G278" s="9">
        <v>1</v>
      </c>
      <c r="H278" s="10"/>
      <c r="I278" s="9"/>
      <c r="J278" s="9" t="s">
        <v>77</v>
      </c>
      <c r="K278" s="13" t="s">
        <v>78</v>
      </c>
      <c r="L278" s="9"/>
      <c r="M278" s="10" t="s">
        <v>527</v>
      </c>
      <c r="N278" s="10" t="s">
        <v>528</v>
      </c>
      <c r="O278" s="9" t="s">
        <v>81</v>
      </c>
      <c r="P278" s="9" t="s">
        <v>82</v>
      </c>
      <c r="Q278" s="9" t="s">
        <v>83</v>
      </c>
      <c r="R278" s="9" t="s">
        <v>84</v>
      </c>
      <c r="S278" s="9" t="s">
        <v>85</v>
      </c>
      <c r="T278" s="11" t="s">
        <v>86</v>
      </c>
      <c r="U278" s="12" t="s">
        <v>87</v>
      </c>
      <c r="V278" s="12" t="s">
        <v>88</v>
      </c>
      <c r="W278" s="9">
        <v>0</v>
      </c>
      <c r="X278" s="9" t="s">
        <v>84</v>
      </c>
      <c r="Y278" s="9" t="s">
        <v>85</v>
      </c>
      <c r="Z278" s="9" t="s">
        <v>86</v>
      </c>
      <c r="AA278" s="9" t="s">
        <v>89</v>
      </c>
      <c r="AB278" s="12" t="s">
        <v>90</v>
      </c>
      <c r="AC278" s="9">
        <v>25</v>
      </c>
    </row>
    <row r="279" spans="1:29" ht="22.5" customHeight="1">
      <c r="A279" s="9" t="s">
        <v>73</v>
      </c>
      <c r="B279" s="9" t="s">
        <v>529</v>
      </c>
      <c r="C279" s="9" t="s">
        <v>75</v>
      </c>
      <c r="D279" s="9" t="s">
        <v>76</v>
      </c>
      <c r="E279" s="9"/>
      <c r="F279" s="9"/>
      <c r="G279" s="9">
        <v>1</v>
      </c>
      <c r="H279" s="10"/>
      <c r="I279" s="9"/>
      <c r="J279" s="9" t="s">
        <v>77</v>
      </c>
      <c r="K279" s="13" t="s">
        <v>78</v>
      </c>
      <c r="L279" s="9"/>
      <c r="M279" s="10" t="s">
        <v>530</v>
      </c>
      <c r="N279" s="10" t="s">
        <v>531</v>
      </c>
      <c r="O279" s="9" t="s">
        <v>81</v>
      </c>
      <c r="P279" s="9" t="s">
        <v>82</v>
      </c>
      <c r="Q279" s="9" t="s">
        <v>83</v>
      </c>
      <c r="R279" s="9" t="s">
        <v>84</v>
      </c>
      <c r="S279" s="9" t="s">
        <v>85</v>
      </c>
      <c r="T279" s="11" t="s">
        <v>86</v>
      </c>
      <c r="U279" s="12" t="s">
        <v>87</v>
      </c>
      <c r="V279" s="12" t="s">
        <v>410</v>
      </c>
      <c r="W279" s="9">
        <v>0</v>
      </c>
      <c r="X279" s="9" t="s">
        <v>84</v>
      </c>
      <c r="Y279" s="9" t="s">
        <v>85</v>
      </c>
      <c r="Z279" s="9" t="s">
        <v>86</v>
      </c>
      <c r="AA279" s="9" t="s">
        <v>89</v>
      </c>
      <c r="AB279" s="12" t="s">
        <v>406</v>
      </c>
      <c r="AC279" s="9">
        <v>37</v>
      </c>
    </row>
    <row r="280" spans="1:29" ht="22.5" customHeight="1">
      <c r="A280" s="9" t="s">
        <v>73</v>
      </c>
      <c r="B280" s="9" t="s">
        <v>532</v>
      </c>
      <c r="C280" s="9" t="s">
        <v>75</v>
      </c>
      <c r="D280" s="9" t="s">
        <v>76</v>
      </c>
      <c r="E280" s="9"/>
      <c r="F280" s="9"/>
      <c r="G280" s="9">
        <v>1</v>
      </c>
      <c r="H280" s="10"/>
      <c r="I280" s="9"/>
      <c r="J280" s="9" t="s">
        <v>77</v>
      </c>
      <c r="K280" s="13" t="s">
        <v>78</v>
      </c>
      <c r="L280" s="9"/>
      <c r="M280" s="10" t="s">
        <v>533</v>
      </c>
      <c r="N280" s="10" t="s">
        <v>534</v>
      </c>
      <c r="O280" s="9" t="s">
        <v>81</v>
      </c>
      <c r="P280" s="9" t="s">
        <v>82</v>
      </c>
      <c r="Q280" s="9" t="s">
        <v>83</v>
      </c>
      <c r="R280" s="9" t="s">
        <v>84</v>
      </c>
      <c r="S280" s="9" t="s">
        <v>85</v>
      </c>
      <c r="T280" s="11" t="s">
        <v>86</v>
      </c>
      <c r="U280" s="12" t="s">
        <v>87</v>
      </c>
      <c r="V280" s="12" t="s">
        <v>88</v>
      </c>
      <c r="W280" s="9">
        <v>0</v>
      </c>
      <c r="X280" s="9" t="s">
        <v>84</v>
      </c>
      <c r="Y280" s="9" t="s">
        <v>85</v>
      </c>
      <c r="Z280" s="9" t="s">
        <v>86</v>
      </c>
      <c r="AA280" s="9" t="s">
        <v>89</v>
      </c>
      <c r="AB280" s="12" t="s">
        <v>90</v>
      </c>
      <c r="AC280" s="9">
        <v>26</v>
      </c>
    </row>
    <row r="281" spans="1:29" ht="22.5" customHeight="1">
      <c r="A281" s="9" t="s">
        <v>73</v>
      </c>
      <c r="B281" s="9" t="s">
        <v>535</v>
      </c>
      <c r="C281" s="9" t="s">
        <v>113</v>
      </c>
      <c r="D281" s="9" t="s">
        <v>76</v>
      </c>
      <c r="E281" s="9"/>
      <c r="F281" s="9"/>
      <c r="G281" s="9">
        <v>1</v>
      </c>
      <c r="H281" s="10"/>
      <c r="I281" s="9"/>
      <c r="J281" s="9" t="s">
        <v>77</v>
      </c>
      <c r="K281" s="13" t="s">
        <v>78</v>
      </c>
      <c r="L281" s="9"/>
      <c r="M281" s="10" t="s">
        <v>536</v>
      </c>
      <c r="N281" s="10" t="s">
        <v>537</v>
      </c>
      <c r="O281" s="9" t="s">
        <v>116</v>
      </c>
      <c r="P281" s="9" t="s">
        <v>117</v>
      </c>
      <c r="Q281" s="9" t="s">
        <v>118</v>
      </c>
      <c r="R281" s="9" t="s">
        <v>119</v>
      </c>
      <c r="S281" s="9" t="s">
        <v>120</v>
      </c>
      <c r="T281" s="11" t="s">
        <v>121</v>
      </c>
      <c r="U281" s="12" t="s">
        <v>87</v>
      </c>
      <c r="V281" s="12" t="s">
        <v>88</v>
      </c>
      <c r="W281" s="9">
        <v>0</v>
      </c>
      <c r="X281" s="9" t="s">
        <v>39</v>
      </c>
      <c r="Y281" s="9" t="s">
        <v>40</v>
      </c>
      <c r="Z281" s="9" t="s">
        <v>41</v>
      </c>
      <c r="AA281" s="9" t="s">
        <v>42</v>
      </c>
      <c r="AB281" s="12" t="s">
        <v>90</v>
      </c>
      <c r="AC281" s="9">
        <v>13</v>
      </c>
    </row>
    <row r="282" spans="1:29" ht="22.5" customHeight="1">
      <c r="A282" s="9" t="s">
        <v>73</v>
      </c>
      <c r="B282" s="9" t="s">
        <v>538</v>
      </c>
      <c r="C282" s="9" t="s">
        <v>75</v>
      </c>
      <c r="D282" s="9" t="s">
        <v>76</v>
      </c>
      <c r="E282" s="9"/>
      <c r="F282" s="9"/>
      <c r="G282" s="9">
        <v>1</v>
      </c>
      <c r="H282" s="10"/>
      <c r="I282" s="9"/>
      <c r="J282" s="9" t="s">
        <v>77</v>
      </c>
      <c r="K282" s="13" t="s">
        <v>78</v>
      </c>
      <c r="L282" s="9"/>
      <c r="M282" s="10" t="s">
        <v>539</v>
      </c>
      <c r="N282" s="10" t="s">
        <v>540</v>
      </c>
      <c r="O282" s="9" t="s">
        <v>81</v>
      </c>
      <c r="P282" s="9" t="s">
        <v>82</v>
      </c>
      <c r="Q282" s="9" t="s">
        <v>83</v>
      </c>
      <c r="R282" s="9" t="s">
        <v>84</v>
      </c>
      <c r="S282" s="9" t="s">
        <v>85</v>
      </c>
      <c r="T282" s="11" t="s">
        <v>86</v>
      </c>
      <c r="U282" s="12" t="s">
        <v>87</v>
      </c>
      <c r="V282" s="12" t="s">
        <v>88</v>
      </c>
      <c r="W282" s="9">
        <v>0</v>
      </c>
      <c r="X282" s="9" t="s">
        <v>39</v>
      </c>
      <c r="Y282" s="9" t="s">
        <v>40</v>
      </c>
      <c r="Z282" s="9" t="s">
        <v>41</v>
      </c>
      <c r="AA282" s="9" t="s">
        <v>42</v>
      </c>
      <c r="AB282" s="12" t="s">
        <v>90</v>
      </c>
      <c r="AC282" s="9">
        <v>9</v>
      </c>
    </row>
    <row r="283" spans="1:29" ht="22.5" customHeight="1">
      <c r="A283" s="9" t="s">
        <v>73</v>
      </c>
      <c r="B283" s="9" t="s">
        <v>541</v>
      </c>
      <c r="C283" s="9" t="s">
        <v>75</v>
      </c>
      <c r="D283" s="9" t="s">
        <v>76</v>
      </c>
      <c r="E283" s="9"/>
      <c r="F283" s="9"/>
      <c r="G283" s="9">
        <v>1</v>
      </c>
      <c r="H283" s="10"/>
      <c r="I283" s="9"/>
      <c r="J283" s="9" t="s">
        <v>77</v>
      </c>
      <c r="K283" s="13" t="s">
        <v>78</v>
      </c>
      <c r="L283" s="9"/>
      <c r="M283" s="10" t="s">
        <v>542</v>
      </c>
      <c r="N283" s="10" t="s">
        <v>543</v>
      </c>
      <c r="O283" s="9" t="s">
        <v>81</v>
      </c>
      <c r="P283" s="9" t="s">
        <v>82</v>
      </c>
      <c r="Q283" s="9" t="s">
        <v>83</v>
      </c>
      <c r="R283" s="9" t="s">
        <v>84</v>
      </c>
      <c r="S283" s="9" t="s">
        <v>85</v>
      </c>
      <c r="T283" s="11" t="s">
        <v>86</v>
      </c>
      <c r="U283" s="12" t="s">
        <v>87</v>
      </c>
      <c r="V283" s="12" t="s">
        <v>88</v>
      </c>
      <c r="W283" s="9">
        <v>0</v>
      </c>
      <c r="X283" s="9" t="s">
        <v>39</v>
      </c>
      <c r="Y283" s="9" t="s">
        <v>40</v>
      </c>
      <c r="Z283" s="9" t="s">
        <v>41</v>
      </c>
      <c r="AA283" s="9" t="s">
        <v>42</v>
      </c>
      <c r="AB283" s="12" t="s">
        <v>90</v>
      </c>
      <c r="AC283" s="9">
        <v>10</v>
      </c>
    </row>
    <row r="284" spans="1:29" ht="22.5" customHeight="1">
      <c r="A284" s="9" t="s">
        <v>73</v>
      </c>
      <c r="B284" s="9" t="s">
        <v>544</v>
      </c>
      <c r="C284" s="9" t="s">
        <v>75</v>
      </c>
      <c r="D284" s="9" t="s">
        <v>76</v>
      </c>
      <c r="E284" s="9"/>
      <c r="F284" s="9"/>
      <c r="G284" s="9">
        <v>1</v>
      </c>
      <c r="H284" s="10"/>
      <c r="I284" s="9"/>
      <c r="J284" s="9" t="s">
        <v>77</v>
      </c>
      <c r="K284" s="13" t="s">
        <v>78</v>
      </c>
      <c r="L284" s="9"/>
      <c r="M284" s="10" t="s">
        <v>545</v>
      </c>
      <c r="N284" s="10" t="s">
        <v>546</v>
      </c>
      <c r="O284" s="9" t="s">
        <v>81</v>
      </c>
      <c r="P284" s="9" t="s">
        <v>82</v>
      </c>
      <c r="Q284" s="9" t="s">
        <v>83</v>
      </c>
      <c r="R284" s="9" t="s">
        <v>84</v>
      </c>
      <c r="S284" s="9" t="s">
        <v>85</v>
      </c>
      <c r="T284" s="11" t="s">
        <v>86</v>
      </c>
      <c r="U284" s="12" t="s">
        <v>87</v>
      </c>
      <c r="V284" s="12" t="s">
        <v>410</v>
      </c>
      <c r="W284" s="9">
        <v>0</v>
      </c>
      <c r="X284" s="9" t="s">
        <v>84</v>
      </c>
      <c r="Y284" s="9" t="s">
        <v>85</v>
      </c>
      <c r="Z284" s="9" t="s">
        <v>86</v>
      </c>
      <c r="AA284" s="9" t="s">
        <v>89</v>
      </c>
      <c r="AB284" s="12" t="s">
        <v>410</v>
      </c>
      <c r="AC284" s="9">
        <v>39</v>
      </c>
    </row>
    <row r="285" spans="1:29" ht="22.5" customHeight="1">
      <c r="A285" s="9" t="s">
        <v>73</v>
      </c>
      <c r="B285" s="9" t="s">
        <v>547</v>
      </c>
      <c r="C285" s="9" t="s">
        <v>75</v>
      </c>
      <c r="D285" s="9" t="s">
        <v>76</v>
      </c>
      <c r="E285" s="9"/>
      <c r="F285" s="9"/>
      <c r="G285" s="9">
        <v>1</v>
      </c>
      <c r="H285" s="10"/>
      <c r="I285" s="9"/>
      <c r="J285" s="9" t="s">
        <v>77</v>
      </c>
      <c r="K285" s="13" t="s">
        <v>78</v>
      </c>
      <c r="L285" s="9"/>
      <c r="M285" s="10" t="s">
        <v>548</v>
      </c>
      <c r="N285" s="10" t="s">
        <v>549</v>
      </c>
      <c r="O285" s="9" t="s">
        <v>81</v>
      </c>
      <c r="P285" s="9" t="s">
        <v>82</v>
      </c>
      <c r="Q285" s="9" t="s">
        <v>83</v>
      </c>
      <c r="R285" s="9" t="s">
        <v>84</v>
      </c>
      <c r="S285" s="9" t="s">
        <v>85</v>
      </c>
      <c r="T285" s="11" t="s">
        <v>86</v>
      </c>
      <c r="U285" s="12" t="s">
        <v>87</v>
      </c>
      <c r="V285" s="12" t="s">
        <v>88</v>
      </c>
      <c r="W285" s="9">
        <v>0</v>
      </c>
      <c r="X285" s="9" t="s">
        <v>39</v>
      </c>
      <c r="Y285" s="9" t="s">
        <v>40</v>
      </c>
      <c r="Z285" s="9" t="s">
        <v>41</v>
      </c>
      <c r="AA285" s="9" t="s">
        <v>42</v>
      </c>
      <c r="AB285" s="12" t="s">
        <v>111</v>
      </c>
      <c r="AC285" s="9">
        <v>5</v>
      </c>
    </row>
    <row r="286" spans="1:29" ht="22.5" customHeight="1">
      <c r="A286" s="9" t="s">
        <v>73</v>
      </c>
      <c r="B286" s="9" t="s">
        <v>550</v>
      </c>
      <c r="C286" s="9" t="s">
        <v>75</v>
      </c>
      <c r="D286" s="9" t="s">
        <v>76</v>
      </c>
      <c r="E286" s="9"/>
      <c r="F286" s="9"/>
      <c r="G286" s="9">
        <v>1</v>
      </c>
      <c r="H286" s="10"/>
      <c r="I286" s="9"/>
      <c r="J286" s="9" t="s">
        <v>77</v>
      </c>
      <c r="K286" s="13" t="s">
        <v>78</v>
      </c>
      <c r="L286" s="9"/>
      <c r="M286" s="10" t="s">
        <v>551</v>
      </c>
      <c r="N286" s="10" t="s">
        <v>552</v>
      </c>
      <c r="O286" s="9" t="s">
        <v>81</v>
      </c>
      <c r="P286" s="9" t="s">
        <v>82</v>
      </c>
      <c r="Q286" s="9" t="s">
        <v>83</v>
      </c>
      <c r="R286" s="9" t="s">
        <v>84</v>
      </c>
      <c r="S286" s="9" t="s">
        <v>85</v>
      </c>
      <c r="T286" s="11" t="s">
        <v>86</v>
      </c>
      <c r="U286" s="12" t="s">
        <v>282</v>
      </c>
      <c r="V286" s="12" t="s">
        <v>136</v>
      </c>
      <c r="W286" s="9">
        <v>0</v>
      </c>
      <c r="X286" s="9" t="s">
        <v>84</v>
      </c>
      <c r="Y286" s="9" t="s">
        <v>85</v>
      </c>
      <c r="Z286" s="9" t="s">
        <v>86</v>
      </c>
      <c r="AA286" s="9" t="s">
        <v>89</v>
      </c>
      <c r="AB286" s="12" t="s">
        <v>136</v>
      </c>
      <c r="AC286" s="9">
        <v>47</v>
      </c>
    </row>
    <row r="287" spans="1:29" ht="22.5" customHeight="1">
      <c r="A287" s="9" t="s">
        <v>73</v>
      </c>
      <c r="B287" s="9" t="s">
        <v>553</v>
      </c>
      <c r="C287" s="9" t="s">
        <v>113</v>
      </c>
      <c r="D287" s="9" t="s">
        <v>31</v>
      </c>
      <c r="E287" s="9"/>
      <c r="F287" s="9"/>
      <c r="G287" s="9">
        <v>1</v>
      </c>
      <c r="H287" s="10"/>
      <c r="I287" s="9"/>
      <c r="J287" s="9" t="s">
        <v>77</v>
      </c>
      <c r="K287" s="13" t="s">
        <v>78</v>
      </c>
      <c r="L287" s="9"/>
      <c r="M287" s="10" t="s">
        <v>554</v>
      </c>
      <c r="N287" s="10" t="s">
        <v>555</v>
      </c>
      <c r="O287" s="9" t="s">
        <v>116</v>
      </c>
      <c r="P287" s="9" t="s">
        <v>117</v>
      </c>
      <c r="Q287" s="9" t="s">
        <v>118</v>
      </c>
      <c r="R287" s="9" t="s">
        <v>119</v>
      </c>
      <c r="S287" s="9" t="s">
        <v>120</v>
      </c>
      <c r="T287" s="11" t="s">
        <v>121</v>
      </c>
      <c r="U287" s="12" t="s">
        <v>297</v>
      </c>
      <c r="V287" s="12" t="s">
        <v>297</v>
      </c>
      <c r="W287" s="9">
        <v>10</v>
      </c>
      <c r="X287" s="9" t="s">
        <v>39</v>
      </c>
      <c r="Y287" s="9" t="s">
        <v>40</v>
      </c>
      <c r="Z287" s="9" t="s">
        <v>41</v>
      </c>
      <c r="AA287" s="9" t="s">
        <v>42</v>
      </c>
      <c r="AB287" s="9"/>
      <c r="AC287" s="9"/>
    </row>
    <row r="288" spans="1:29" ht="22.5" customHeight="1">
      <c r="A288" s="9" t="s">
        <v>73</v>
      </c>
      <c r="B288" s="9" t="s">
        <v>556</v>
      </c>
      <c r="C288" s="9" t="s">
        <v>75</v>
      </c>
      <c r="D288" s="9" t="s">
        <v>76</v>
      </c>
      <c r="E288" s="9"/>
      <c r="F288" s="9"/>
      <c r="G288" s="9">
        <v>1</v>
      </c>
      <c r="H288" s="10"/>
      <c r="I288" s="9"/>
      <c r="J288" s="9" t="s">
        <v>77</v>
      </c>
      <c r="K288" s="13" t="s">
        <v>78</v>
      </c>
      <c r="L288" s="9"/>
      <c r="M288" s="10" t="s">
        <v>557</v>
      </c>
      <c r="N288" s="10" t="s">
        <v>558</v>
      </c>
      <c r="O288" s="9" t="s">
        <v>81</v>
      </c>
      <c r="P288" s="9" t="s">
        <v>82</v>
      </c>
      <c r="Q288" s="9" t="s">
        <v>83</v>
      </c>
      <c r="R288" s="9" t="s">
        <v>84</v>
      </c>
      <c r="S288" s="9" t="s">
        <v>85</v>
      </c>
      <c r="T288" s="11" t="s">
        <v>86</v>
      </c>
      <c r="U288" s="12" t="s">
        <v>282</v>
      </c>
      <c r="V288" s="12" t="s">
        <v>136</v>
      </c>
      <c r="W288" s="9">
        <v>0</v>
      </c>
      <c r="X288" s="9" t="s">
        <v>84</v>
      </c>
      <c r="Y288" s="9" t="s">
        <v>85</v>
      </c>
      <c r="Z288" s="9" t="s">
        <v>86</v>
      </c>
      <c r="AA288" s="9" t="s">
        <v>89</v>
      </c>
      <c r="AB288" s="12" t="s">
        <v>136</v>
      </c>
      <c r="AC288" s="9">
        <v>48</v>
      </c>
    </row>
    <row r="289" spans="1:29" ht="22.5" customHeight="1">
      <c r="A289" s="9" t="s">
        <v>73</v>
      </c>
      <c r="B289" s="9" t="s">
        <v>559</v>
      </c>
      <c r="C289" s="9" t="s">
        <v>75</v>
      </c>
      <c r="D289" s="9" t="s">
        <v>76</v>
      </c>
      <c r="E289" s="9"/>
      <c r="F289" s="9"/>
      <c r="G289" s="9">
        <v>1</v>
      </c>
      <c r="H289" s="10"/>
      <c r="I289" s="9"/>
      <c r="J289" s="9" t="s">
        <v>77</v>
      </c>
      <c r="K289" s="13" t="s">
        <v>78</v>
      </c>
      <c r="L289" s="9"/>
      <c r="M289" s="10" t="s">
        <v>560</v>
      </c>
      <c r="N289" s="10" t="s">
        <v>561</v>
      </c>
      <c r="O289" s="9" t="s">
        <v>81</v>
      </c>
      <c r="P289" s="9" t="s">
        <v>82</v>
      </c>
      <c r="Q289" s="9" t="s">
        <v>83</v>
      </c>
      <c r="R289" s="9" t="s">
        <v>84</v>
      </c>
      <c r="S289" s="9" t="s">
        <v>85</v>
      </c>
      <c r="T289" s="11" t="s">
        <v>86</v>
      </c>
      <c r="U289" s="12" t="s">
        <v>282</v>
      </c>
      <c r="V289" s="12" t="s">
        <v>136</v>
      </c>
      <c r="W289" s="9">
        <v>0</v>
      </c>
      <c r="X289" s="9" t="s">
        <v>84</v>
      </c>
      <c r="Y289" s="9" t="s">
        <v>85</v>
      </c>
      <c r="Z289" s="9" t="s">
        <v>86</v>
      </c>
      <c r="AA289" s="9" t="s">
        <v>89</v>
      </c>
      <c r="AB289" s="12" t="s">
        <v>136</v>
      </c>
      <c r="AC289" s="9">
        <v>49</v>
      </c>
    </row>
    <row r="290" spans="1:29" ht="22.5" customHeight="1">
      <c r="A290" s="9" t="s">
        <v>73</v>
      </c>
      <c r="B290" s="9" t="s">
        <v>562</v>
      </c>
      <c r="C290" s="9" t="s">
        <v>113</v>
      </c>
      <c r="D290" s="9" t="s">
        <v>31</v>
      </c>
      <c r="E290" s="9"/>
      <c r="F290" s="9"/>
      <c r="G290" s="9">
        <v>1</v>
      </c>
      <c r="H290" s="10"/>
      <c r="I290" s="9"/>
      <c r="J290" s="9" t="s">
        <v>77</v>
      </c>
      <c r="K290" s="13" t="s">
        <v>78</v>
      </c>
      <c r="L290" s="9"/>
      <c r="M290" s="10" t="s">
        <v>563</v>
      </c>
      <c r="N290" s="10" t="s">
        <v>564</v>
      </c>
      <c r="O290" s="9" t="s">
        <v>116</v>
      </c>
      <c r="P290" s="9" t="s">
        <v>117</v>
      </c>
      <c r="Q290" s="9" t="s">
        <v>118</v>
      </c>
      <c r="R290" s="9" t="s">
        <v>119</v>
      </c>
      <c r="S290" s="9" t="s">
        <v>120</v>
      </c>
      <c r="T290" s="11" t="s">
        <v>121</v>
      </c>
      <c r="U290" s="12" t="s">
        <v>297</v>
      </c>
      <c r="V290" s="12" t="s">
        <v>297</v>
      </c>
      <c r="W290" s="9">
        <v>10</v>
      </c>
      <c r="X290" s="9" t="s">
        <v>39</v>
      </c>
      <c r="Y290" s="9" t="s">
        <v>40</v>
      </c>
      <c r="Z290" s="9" t="s">
        <v>41</v>
      </c>
      <c r="AA290" s="9" t="s">
        <v>42</v>
      </c>
      <c r="AB290" s="9"/>
      <c r="AC290" s="9"/>
    </row>
    <row r="291" spans="1:29" ht="22.5" customHeight="1">
      <c r="A291" s="9" t="s">
        <v>73</v>
      </c>
      <c r="B291" s="9" t="s">
        <v>565</v>
      </c>
      <c r="C291" s="9" t="s">
        <v>75</v>
      </c>
      <c r="D291" s="9" t="s">
        <v>76</v>
      </c>
      <c r="E291" s="9"/>
      <c r="F291" s="9"/>
      <c r="G291" s="9">
        <v>1</v>
      </c>
      <c r="H291" s="10"/>
      <c r="I291" s="9"/>
      <c r="J291" s="9" t="s">
        <v>77</v>
      </c>
      <c r="K291" s="13" t="s">
        <v>78</v>
      </c>
      <c r="L291" s="9"/>
      <c r="M291" s="10" t="s">
        <v>566</v>
      </c>
      <c r="N291" s="10" t="s">
        <v>567</v>
      </c>
      <c r="O291" s="9" t="s">
        <v>81</v>
      </c>
      <c r="P291" s="9" t="s">
        <v>82</v>
      </c>
      <c r="Q291" s="9" t="s">
        <v>83</v>
      </c>
      <c r="R291" s="9" t="s">
        <v>84</v>
      </c>
      <c r="S291" s="9" t="s">
        <v>85</v>
      </c>
      <c r="T291" s="11" t="s">
        <v>86</v>
      </c>
      <c r="U291" s="12" t="s">
        <v>282</v>
      </c>
      <c r="V291" s="12" t="s">
        <v>136</v>
      </c>
      <c r="W291" s="9">
        <v>0</v>
      </c>
      <c r="X291" s="9" t="s">
        <v>84</v>
      </c>
      <c r="Y291" s="9" t="s">
        <v>85</v>
      </c>
      <c r="Z291" s="9" t="s">
        <v>86</v>
      </c>
      <c r="AA291" s="9" t="s">
        <v>89</v>
      </c>
      <c r="AB291" s="12" t="s">
        <v>136</v>
      </c>
      <c r="AC291" s="9">
        <v>50</v>
      </c>
    </row>
    <row r="292" spans="1:29" ht="22.5" customHeight="1">
      <c r="A292" s="9" t="s">
        <v>73</v>
      </c>
      <c r="B292" s="9" t="s">
        <v>568</v>
      </c>
      <c r="C292" s="9" t="s">
        <v>75</v>
      </c>
      <c r="D292" s="9" t="s">
        <v>76</v>
      </c>
      <c r="E292" s="9"/>
      <c r="F292" s="9"/>
      <c r="G292" s="9">
        <v>1</v>
      </c>
      <c r="H292" s="10"/>
      <c r="I292" s="9"/>
      <c r="J292" s="9" t="s">
        <v>77</v>
      </c>
      <c r="K292" s="13" t="s">
        <v>78</v>
      </c>
      <c r="L292" s="9"/>
      <c r="M292" s="10" t="s">
        <v>569</v>
      </c>
      <c r="N292" s="10" t="s">
        <v>570</v>
      </c>
      <c r="O292" s="9" t="s">
        <v>81</v>
      </c>
      <c r="P292" s="9" t="s">
        <v>82</v>
      </c>
      <c r="Q292" s="9" t="s">
        <v>83</v>
      </c>
      <c r="R292" s="9" t="s">
        <v>84</v>
      </c>
      <c r="S292" s="9" t="s">
        <v>85</v>
      </c>
      <c r="T292" s="11" t="s">
        <v>86</v>
      </c>
      <c r="U292" s="12" t="s">
        <v>282</v>
      </c>
      <c r="V292" s="12" t="s">
        <v>136</v>
      </c>
      <c r="W292" s="9">
        <v>0</v>
      </c>
      <c r="X292" s="9" t="s">
        <v>84</v>
      </c>
      <c r="Y292" s="9" t="s">
        <v>85</v>
      </c>
      <c r="Z292" s="9" t="s">
        <v>86</v>
      </c>
      <c r="AA292" s="9" t="s">
        <v>89</v>
      </c>
      <c r="AB292" s="12" t="s">
        <v>136</v>
      </c>
      <c r="AC292" s="9">
        <v>51</v>
      </c>
    </row>
    <row r="293" spans="1:29" ht="22.5" customHeight="1">
      <c r="A293" s="9" t="s">
        <v>73</v>
      </c>
      <c r="B293" s="9" t="s">
        <v>571</v>
      </c>
      <c r="C293" s="9" t="s">
        <v>75</v>
      </c>
      <c r="D293" s="9" t="s">
        <v>76</v>
      </c>
      <c r="E293" s="9"/>
      <c r="F293" s="9"/>
      <c r="G293" s="9">
        <v>1</v>
      </c>
      <c r="H293" s="10"/>
      <c r="I293" s="9"/>
      <c r="J293" s="9" t="s">
        <v>77</v>
      </c>
      <c r="K293" s="13" t="s">
        <v>78</v>
      </c>
      <c r="L293" s="9"/>
      <c r="M293" s="10" t="s">
        <v>572</v>
      </c>
      <c r="N293" s="10" t="s">
        <v>573</v>
      </c>
      <c r="O293" s="9" t="s">
        <v>81</v>
      </c>
      <c r="P293" s="9" t="s">
        <v>82</v>
      </c>
      <c r="Q293" s="9" t="s">
        <v>83</v>
      </c>
      <c r="R293" s="9" t="s">
        <v>84</v>
      </c>
      <c r="S293" s="9" t="s">
        <v>85</v>
      </c>
      <c r="T293" s="11" t="s">
        <v>86</v>
      </c>
      <c r="U293" s="12" t="s">
        <v>282</v>
      </c>
      <c r="V293" s="12" t="s">
        <v>136</v>
      </c>
      <c r="W293" s="9">
        <v>0</v>
      </c>
      <c r="X293" s="9" t="s">
        <v>84</v>
      </c>
      <c r="Y293" s="9" t="s">
        <v>85</v>
      </c>
      <c r="Z293" s="9" t="s">
        <v>86</v>
      </c>
      <c r="AA293" s="9" t="s">
        <v>89</v>
      </c>
      <c r="AB293" s="12" t="s">
        <v>136</v>
      </c>
      <c r="AC293" s="9">
        <v>52</v>
      </c>
    </row>
    <row r="294" spans="1:29" ht="22.5" customHeight="1">
      <c r="A294" s="9" t="s">
        <v>73</v>
      </c>
      <c r="B294" s="11" t="s">
        <v>574</v>
      </c>
      <c r="C294" s="9" t="s">
        <v>75</v>
      </c>
      <c r="D294" s="9" t="s">
        <v>76</v>
      </c>
      <c r="E294" s="9"/>
      <c r="F294" s="9"/>
      <c r="G294" s="9">
        <v>1</v>
      </c>
      <c r="H294" s="10"/>
      <c r="I294" s="9"/>
      <c r="J294" s="9" t="s">
        <v>77</v>
      </c>
      <c r="K294" s="13" t="s">
        <v>78</v>
      </c>
      <c r="L294" s="9"/>
      <c r="M294" s="10" t="s">
        <v>575</v>
      </c>
      <c r="N294" s="10" t="s">
        <v>576</v>
      </c>
      <c r="O294" s="9" t="s">
        <v>81</v>
      </c>
      <c r="P294" s="9" t="s">
        <v>82</v>
      </c>
      <c r="Q294" s="9" t="s">
        <v>83</v>
      </c>
      <c r="R294" s="9" t="s">
        <v>84</v>
      </c>
      <c r="S294" s="9" t="s">
        <v>85</v>
      </c>
      <c r="T294" s="11" t="s">
        <v>86</v>
      </c>
      <c r="U294" s="12" t="s">
        <v>87</v>
      </c>
      <c r="V294" s="12" t="s">
        <v>410</v>
      </c>
      <c r="W294" s="9">
        <v>0</v>
      </c>
      <c r="X294" s="9" t="s">
        <v>84</v>
      </c>
      <c r="Y294" s="9" t="s">
        <v>85</v>
      </c>
      <c r="Z294" s="9" t="s">
        <v>86</v>
      </c>
      <c r="AA294" s="9" t="s">
        <v>89</v>
      </c>
      <c r="AB294" s="12" t="s">
        <v>410</v>
      </c>
      <c r="AC294" s="9">
        <v>40</v>
      </c>
    </row>
    <row r="295" spans="1:29" ht="22.5" customHeight="1">
      <c r="A295" s="9" t="s">
        <v>73</v>
      </c>
      <c r="B295" s="9" t="s">
        <v>577</v>
      </c>
      <c r="C295" s="9" t="s">
        <v>113</v>
      </c>
      <c r="D295" s="9" t="s">
        <v>76</v>
      </c>
      <c r="E295" s="9"/>
      <c r="F295" s="9"/>
      <c r="G295" s="9">
        <v>1</v>
      </c>
      <c r="H295" s="10"/>
      <c r="I295" s="9"/>
      <c r="J295" s="9" t="s">
        <v>77</v>
      </c>
      <c r="K295" s="13" t="s">
        <v>78</v>
      </c>
      <c r="L295" s="9"/>
      <c r="M295" s="10" t="s">
        <v>578</v>
      </c>
      <c r="N295" s="10" t="s">
        <v>579</v>
      </c>
      <c r="O295" s="9" t="s">
        <v>116</v>
      </c>
      <c r="P295" s="9" t="s">
        <v>117</v>
      </c>
      <c r="Q295" s="9" t="s">
        <v>118</v>
      </c>
      <c r="R295" s="9" t="s">
        <v>146</v>
      </c>
      <c r="S295" s="9" t="s">
        <v>147</v>
      </c>
      <c r="T295" s="11" t="s">
        <v>148</v>
      </c>
      <c r="U295" s="12" t="s">
        <v>87</v>
      </c>
      <c r="V295" s="12" t="s">
        <v>88</v>
      </c>
      <c r="W295" s="9">
        <v>0</v>
      </c>
      <c r="X295" s="9" t="s">
        <v>39</v>
      </c>
      <c r="Y295" s="9" t="s">
        <v>40</v>
      </c>
      <c r="Z295" s="9" t="s">
        <v>41</v>
      </c>
      <c r="AA295" s="9" t="s">
        <v>42</v>
      </c>
      <c r="AB295" s="12" t="s">
        <v>90</v>
      </c>
      <c r="AC295" s="9">
        <v>7</v>
      </c>
    </row>
    <row r="296" spans="1:29" ht="22.5" customHeight="1">
      <c r="A296" s="9" t="s">
        <v>73</v>
      </c>
      <c r="B296" s="9" t="s">
        <v>580</v>
      </c>
      <c r="C296" s="9" t="s">
        <v>75</v>
      </c>
      <c r="D296" s="9" t="s">
        <v>76</v>
      </c>
      <c r="E296" s="9"/>
      <c r="F296" s="9"/>
      <c r="G296" s="9">
        <v>1</v>
      </c>
      <c r="H296" s="10"/>
      <c r="I296" s="9"/>
      <c r="J296" s="9" t="s">
        <v>77</v>
      </c>
      <c r="K296" s="13" t="s">
        <v>78</v>
      </c>
      <c r="L296" s="9"/>
      <c r="M296" s="10" t="s">
        <v>581</v>
      </c>
      <c r="N296" s="10" t="s">
        <v>582</v>
      </c>
      <c r="O296" s="9" t="s">
        <v>81</v>
      </c>
      <c r="P296" s="9" t="s">
        <v>82</v>
      </c>
      <c r="Q296" s="9" t="s">
        <v>83</v>
      </c>
      <c r="R296" s="9" t="s">
        <v>84</v>
      </c>
      <c r="S296" s="9" t="s">
        <v>85</v>
      </c>
      <c r="T296" s="11" t="s">
        <v>86</v>
      </c>
      <c r="U296" s="12" t="s">
        <v>583</v>
      </c>
      <c r="V296" s="12" t="s">
        <v>136</v>
      </c>
      <c r="W296" s="9">
        <v>0</v>
      </c>
      <c r="X296" s="9" t="s">
        <v>84</v>
      </c>
      <c r="Y296" s="9" t="s">
        <v>85</v>
      </c>
      <c r="Z296" s="9" t="s">
        <v>86</v>
      </c>
      <c r="AA296" s="9" t="s">
        <v>89</v>
      </c>
      <c r="AB296" s="12" t="s">
        <v>136</v>
      </c>
      <c r="AC296" s="9">
        <v>53</v>
      </c>
    </row>
    <row r="297" spans="1:29" ht="22.5" customHeight="1">
      <c r="A297" s="9" t="s">
        <v>73</v>
      </c>
      <c r="B297" s="9" t="s">
        <v>584</v>
      </c>
      <c r="C297" s="9" t="s">
        <v>113</v>
      </c>
      <c r="D297" s="9" t="s">
        <v>31</v>
      </c>
      <c r="E297" s="9"/>
      <c r="F297" s="9"/>
      <c r="G297" s="9">
        <v>1</v>
      </c>
      <c r="H297" s="10"/>
      <c r="I297" s="9"/>
      <c r="J297" s="9" t="s">
        <v>77</v>
      </c>
      <c r="K297" s="13" t="s">
        <v>78</v>
      </c>
      <c r="L297" s="9"/>
      <c r="M297" s="10" t="s">
        <v>585</v>
      </c>
      <c r="N297" s="10" t="s">
        <v>586</v>
      </c>
      <c r="O297" s="9" t="s">
        <v>116</v>
      </c>
      <c r="P297" s="9" t="s">
        <v>117</v>
      </c>
      <c r="Q297" s="9" t="s">
        <v>118</v>
      </c>
      <c r="R297" s="9" t="s">
        <v>119</v>
      </c>
      <c r="S297" s="9" t="s">
        <v>120</v>
      </c>
      <c r="T297" s="11" t="s">
        <v>121</v>
      </c>
      <c r="U297" s="12" t="s">
        <v>297</v>
      </c>
      <c r="V297" s="12" t="s">
        <v>297</v>
      </c>
      <c r="W297" s="9">
        <v>10</v>
      </c>
      <c r="X297" s="9" t="s">
        <v>39</v>
      </c>
      <c r="Y297" s="9" t="s">
        <v>40</v>
      </c>
      <c r="Z297" s="9" t="s">
        <v>41</v>
      </c>
      <c r="AA297" s="9" t="s">
        <v>42</v>
      </c>
      <c r="AB297" s="9"/>
      <c r="AC297" s="9"/>
    </row>
    <row r="298" spans="1:29" ht="22.5" customHeight="1">
      <c r="A298" s="9" t="s">
        <v>73</v>
      </c>
      <c r="B298" s="9" t="s">
        <v>587</v>
      </c>
      <c r="C298" s="9" t="s">
        <v>75</v>
      </c>
      <c r="D298" s="9" t="s">
        <v>76</v>
      </c>
      <c r="E298" s="9"/>
      <c r="F298" s="9"/>
      <c r="G298" s="9">
        <v>1</v>
      </c>
      <c r="H298" s="10"/>
      <c r="I298" s="9"/>
      <c r="J298" s="9" t="s">
        <v>77</v>
      </c>
      <c r="K298" s="13" t="s">
        <v>78</v>
      </c>
      <c r="L298" s="9"/>
      <c r="M298" s="10" t="s">
        <v>588</v>
      </c>
      <c r="N298" s="10" t="s">
        <v>589</v>
      </c>
      <c r="O298" s="9" t="s">
        <v>81</v>
      </c>
      <c r="P298" s="9" t="s">
        <v>82</v>
      </c>
      <c r="Q298" s="9" t="s">
        <v>83</v>
      </c>
      <c r="R298" s="9" t="s">
        <v>84</v>
      </c>
      <c r="S298" s="9" t="s">
        <v>85</v>
      </c>
      <c r="T298" s="11" t="s">
        <v>86</v>
      </c>
      <c r="U298" s="12" t="s">
        <v>265</v>
      </c>
      <c r="V298" s="12" t="s">
        <v>136</v>
      </c>
      <c r="W298" s="9">
        <v>0</v>
      </c>
      <c r="X298" s="9" t="s">
        <v>84</v>
      </c>
      <c r="Y298" s="9" t="s">
        <v>85</v>
      </c>
      <c r="Z298" s="9" t="s">
        <v>86</v>
      </c>
      <c r="AA298" s="9" t="s">
        <v>89</v>
      </c>
      <c r="AB298" s="12" t="s">
        <v>136</v>
      </c>
      <c r="AC298" s="9">
        <v>54</v>
      </c>
    </row>
    <row r="299" spans="1:29" ht="22.5" customHeight="1">
      <c r="A299" s="9" t="s">
        <v>73</v>
      </c>
      <c r="B299" s="9" t="s">
        <v>590</v>
      </c>
      <c r="C299" s="9" t="s">
        <v>113</v>
      </c>
      <c r="D299" s="9" t="s">
        <v>76</v>
      </c>
      <c r="E299" s="9"/>
      <c r="F299" s="9"/>
      <c r="G299" s="9">
        <v>1</v>
      </c>
      <c r="H299" s="10"/>
      <c r="I299" s="9"/>
      <c r="J299" s="9" t="s">
        <v>77</v>
      </c>
      <c r="K299" s="13" t="s">
        <v>78</v>
      </c>
      <c r="L299" s="9"/>
      <c r="M299" s="10" t="s">
        <v>591</v>
      </c>
      <c r="N299" s="10" t="s">
        <v>592</v>
      </c>
      <c r="O299" s="9" t="s">
        <v>116</v>
      </c>
      <c r="P299" s="9" t="s">
        <v>117</v>
      </c>
      <c r="Q299" s="9" t="s">
        <v>118</v>
      </c>
      <c r="R299" s="9" t="s">
        <v>119</v>
      </c>
      <c r="S299" s="9" t="s">
        <v>120</v>
      </c>
      <c r="T299" s="11" t="s">
        <v>121</v>
      </c>
      <c r="U299" s="12" t="s">
        <v>87</v>
      </c>
      <c r="V299" s="12" t="s">
        <v>88</v>
      </c>
      <c r="W299" s="9">
        <v>0</v>
      </c>
      <c r="X299" s="9" t="s">
        <v>39</v>
      </c>
      <c r="Y299" s="9" t="s">
        <v>40</v>
      </c>
      <c r="Z299" s="9" t="s">
        <v>41</v>
      </c>
      <c r="AA299" s="9" t="s">
        <v>42</v>
      </c>
      <c r="AB299" s="12" t="s">
        <v>90</v>
      </c>
      <c r="AC299" s="9">
        <v>14</v>
      </c>
    </row>
    <row r="300" spans="1:29" ht="22.5" customHeight="1">
      <c r="A300" s="9" t="s">
        <v>73</v>
      </c>
      <c r="B300" s="9" t="s">
        <v>593</v>
      </c>
      <c r="C300" s="9" t="s">
        <v>113</v>
      </c>
      <c r="D300" s="9" t="s">
        <v>76</v>
      </c>
      <c r="E300" s="9"/>
      <c r="F300" s="9"/>
      <c r="G300" s="9">
        <v>1</v>
      </c>
      <c r="H300" s="10"/>
      <c r="I300" s="9"/>
      <c r="J300" s="9" t="s">
        <v>77</v>
      </c>
      <c r="K300" s="13" t="s">
        <v>78</v>
      </c>
      <c r="L300" s="9"/>
      <c r="M300" s="10" t="s">
        <v>594</v>
      </c>
      <c r="N300" s="10" t="s">
        <v>595</v>
      </c>
      <c r="O300" s="9" t="s">
        <v>116</v>
      </c>
      <c r="P300" s="9" t="s">
        <v>117</v>
      </c>
      <c r="Q300" s="9" t="s">
        <v>118</v>
      </c>
      <c r="R300" s="9" t="s">
        <v>119</v>
      </c>
      <c r="S300" s="9" t="s">
        <v>120</v>
      </c>
      <c r="T300" s="11" t="s">
        <v>121</v>
      </c>
      <c r="U300" s="12" t="s">
        <v>87</v>
      </c>
      <c r="V300" s="12" t="s">
        <v>88</v>
      </c>
      <c r="W300" s="9">
        <v>0</v>
      </c>
      <c r="X300" s="9" t="s">
        <v>39</v>
      </c>
      <c r="Y300" s="9" t="s">
        <v>40</v>
      </c>
      <c r="Z300" s="9" t="s">
        <v>41</v>
      </c>
      <c r="AA300" s="9" t="s">
        <v>42</v>
      </c>
      <c r="AB300" s="12" t="s">
        <v>90</v>
      </c>
      <c r="AC300" s="9">
        <v>15</v>
      </c>
    </row>
    <row r="301" spans="1:29" ht="22.5" customHeight="1">
      <c r="A301" s="9" t="s">
        <v>73</v>
      </c>
      <c r="B301" s="9" t="s">
        <v>596</v>
      </c>
      <c r="C301" s="9" t="s">
        <v>75</v>
      </c>
      <c r="D301" s="9" t="s">
        <v>76</v>
      </c>
      <c r="E301" s="9"/>
      <c r="F301" s="9"/>
      <c r="G301" s="9">
        <v>1</v>
      </c>
      <c r="H301" s="10"/>
      <c r="I301" s="9"/>
      <c r="J301" s="9" t="s">
        <v>77</v>
      </c>
      <c r="K301" s="13" t="s">
        <v>78</v>
      </c>
      <c r="L301" s="9"/>
      <c r="M301" s="10" t="s">
        <v>594</v>
      </c>
      <c r="N301" s="10" t="s">
        <v>595</v>
      </c>
      <c r="O301" s="9" t="s">
        <v>81</v>
      </c>
      <c r="P301" s="9" t="s">
        <v>82</v>
      </c>
      <c r="Q301" s="9" t="s">
        <v>83</v>
      </c>
      <c r="R301" s="9" t="s">
        <v>84</v>
      </c>
      <c r="S301" s="9" t="s">
        <v>85</v>
      </c>
      <c r="T301" s="11" t="s">
        <v>86</v>
      </c>
      <c r="U301" s="12" t="s">
        <v>87</v>
      </c>
      <c r="V301" s="12" t="s">
        <v>88</v>
      </c>
      <c r="W301" s="9">
        <v>0</v>
      </c>
      <c r="X301" s="9" t="s">
        <v>39</v>
      </c>
      <c r="Y301" s="9" t="s">
        <v>40</v>
      </c>
      <c r="Z301" s="9" t="s">
        <v>41</v>
      </c>
      <c r="AA301" s="9" t="s">
        <v>42</v>
      </c>
      <c r="AB301" s="12" t="s">
        <v>90</v>
      </c>
      <c r="AC301" s="9">
        <v>11</v>
      </c>
    </row>
    <row r="302" spans="1:29" ht="22.5" customHeight="1">
      <c r="A302" s="9" t="s">
        <v>73</v>
      </c>
      <c r="B302" s="9" t="s">
        <v>597</v>
      </c>
      <c r="C302" s="9" t="s">
        <v>113</v>
      </c>
      <c r="D302" s="9" t="s">
        <v>76</v>
      </c>
      <c r="E302" s="9"/>
      <c r="F302" s="9"/>
      <c r="G302" s="9">
        <v>1</v>
      </c>
      <c r="H302" s="10"/>
      <c r="I302" s="9"/>
      <c r="J302" s="9" t="s">
        <v>77</v>
      </c>
      <c r="K302" s="13" t="s">
        <v>78</v>
      </c>
      <c r="L302" s="9"/>
      <c r="M302" s="10" t="s">
        <v>598</v>
      </c>
      <c r="N302" s="10" t="s">
        <v>599</v>
      </c>
      <c r="O302" s="9" t="s">
        <v>116</v>
      </c>
      <c r="P302" s="9" t="s">
        <v>117</v>
      </c>
      <c r="Q302" s="9" t="s">
        <v>118</v>
      </c>
      <c r="R302" s="9" t="s">
        <v>146</v>
      </c>
      <c r="S302" s="9" t="s">
        <v>147</v>
      </c>
      <c r="T302" s="11" t="s">
        <v>148</v>
      </c>
      <c r="U302" s="12" t="s">
        <v>87</v>
      </c>
      <c r="V302" s="12" t="s">
        <v>88</v>
      </c>
      <c r="W302" s="9">
        <v>0</v>
      </c>
      <c r="X302" s="9" t="s">
        <v>39</v>
      </c>
      <c r="Y302" s="9" t="s">
        <v>40</v>
      </c>
      <c r="Z302" s="9" t="s">
        <v>41</v>
      </c>
      <c r="AA302" s="9" t="s">
        <v>42</v>
      </c>
      <c r="AB302" s="12" t="s">
        <v>90</v>
      </c>
      <c r="AC302" s="9">
        <v>8</v>
      </c>
    </row>
    <row r="303" spans="1:29" ht="22.5" customHeight="1">
      <c r="A303" s="9" t="s">
        <v>73</v>
      </c>
      <c r="B303" s="9" t="s">
        <v>600</v>
      </c>
      <c r="C303" s="9" t="s">
        <v>113</v>
      </c>
      <c r="D303" s="9" t="s">
        <v>76</v>
      </c>
      <c r="E303" s="9"/>
      <c r="F303" s="9"/>
      <c r="G303" s="9">
        <v>1</v>
      </c>
      <c r="H303" s="10"/>
      <c r="I303" s="9"/>
      <c r="J303" s="9" t="s">
        <v>77</v>
      </c>
      <c r="K303" s="13" t="s">
        <v>78</v>
      </c>
      <c r="L303" s="9"/>
      <c r="M303" s="10" t="s">
        <v>601</v>
      </c>
      <c r="N303" s="10" t="s">
        <v>602</v>
      </c>
      <c r="O303" s="9" t="s">
        <v>116</v>
      </c>
      <c r="P303" s="9" t="s">
        <v>117</v>
      </c>
      <c r="Q303" s="9" t="s">
        <v>118</v>
      </c>
      <c r="R303" s="9" t="s">
        <v>146</v>
      </c>
      <c r="S303" s="9" t="s">
        <v>147</v>
      </c>
      <c r="T303" s="11" t="s">
        <v>148</v>
      </c>
      <c r="U303" s="12" t="s">
        <v>603</v>
      </c>
      <c r="V303" s="12" t="s">
        <v>88</v>
      </c>
      <c r="W303" s="9">
        <v>0</v>
      </c>
      <c r="X303" s="9" t="s">
        <v>39</v>
      </c>
      <c r="Y303" s="9" t="s">
        <v>40</v>
      </c>
      <c r="Z303" s="9" t="s">
        <v>41</v>
      </c>
      <c r="AA303" s="9" t="s">
        <v>42</v>
      </c>
      <c r="AB303" s="12" t="s">
        <v>111</v>
      </c>
      <c r="AC303" s="9">
        <v>4</v>
      </c>
    </row>
    <row r="304" spans="1:29" ht="22.5" customHeight="1">
      <c r="A304" s="9" t="s">
        <v>73</v>
      </c>
      <c r="B304" s="9" t="s">
        <v>604</v>
      </c>
      <c r="C304" s="9" t="s">
        <v>113</v>
      </c>
      <c r="D304" s="9" t="s">
        <v>76</v>
      </c>
      <c r="E304" s="9"/>
      <c r="F304" s="9"/>
      <c r="G304" s="9">
        <v>1</v>
      </c>
      <c r="H304" s="10"/>
      <c r="I304" s="9"/>
      <c r="J304" s="9" t="s">
        <v>77</v>
      </c>
      <c r="K304" s="13" t="s">
        <v>78</v>
      </c>
      <c r="L304" s="9"/>
      <c r="M304" s="10" t="s">
        <v>605</v>
      </c>
      <c r="N304" s="10" t="s">
        <v>606</v>
      </c>
      <c r="O304" s="9" t="s">
        <v>116</v>
      </c>
      <c r="P304" s="9" t="s">
        <v>117</v>
      </c>
      <c r="Q304" s="9" t="s">
        <v>118</v>
      </c>
      <c r="R304" s="9" t="s">
        <v>119</v>
      </c>
      <c r="S304" s="9" t="s">
        <v>120</v>
      </c>
      <c r="T304" s="11" t="s">
        <v>121</v>
      </c>
      <c r="U304" s="12" t="s">
        <v>87</v>
      </c>
      <c r="V304" s="12" t="s">
        <v>286</v>
      </c>
      <c r="W304" s="9">
        <v>0</v>
      </c>
      <c r="X304" s="9" t="s">
        <v>119</v>
      </c>
      <c r="Y304" s="9" t="s">
        <v>120</v>
      </c>
      <c r="Z304" s="9" t="s">
        <v>121</v>
      </c>
      <c r="AA304" s="9" t="s">
        <v>271</v>
      </c>
      <c r="AB304" s="12" t="s">
        <v>128</v>
      </c>
      <c r="AC304" s="9">
        <v>28</v>
      </c>
    </row>
    <row r="305" spans="1:29" ht="22.5" customHeight="1">
      <c r="A305" s="9" t="s">
        <v>73</v>
      </c>
      <c r="B305" s="9" t="s">
        <v>607</v>
      </c>
      <c r="C305" s="9" t="s">
        <v>113</v>
      </c>
      <c r="D305" s="9" t="s">
        <v>76</v>
      </c>
      <c r="E305" s="9"/>
      <c r="F305" s="9"/>
      <c r="G305" s="9">
        <v>1</v>
      </c>
      <c r="H305" s="10"/>
      <c r="I305" s="9"/>
      <c r="J305" s="9" t="s">
        <v>77</v>
      </c>
      <c r="K305" s="13" t="s">
        <v>78</v>
      </c>
      <c r="L305" s="9"/>
      <c r="M305" s="10" t="s">
        <v>608</v>
      </c>
      <c r="N305" s="10" t="s">
        <v>609</v>
      </c>
      <c r="O305" s="9" t="s">
        <v>116</v>
      </c>
      <c r="P305" s="9" t="s">
        <v>117</v>
      </c>
      <c r="Q305" s="9" t="s">
        <v>118</v>
      </c>
      <c r="R305" s="9" t="s">
        <v>119</v>
      </c>
      <c r="S305" s="9" t="s">
        <v>120</v>
      </c>
      <c r="T305" s="11" t="s">
        <v>121</v>
      </c>
      <c r="U305" s="12" t="s">
        <v>87</v>
      </c>
      <c r="V305" s="12" t="s">
        <v>88</v>
      </c>
      <c r="W305" s="9">
        <v>0</v>
      </c>
      <c r="X305" s="9" t="s">
        <v>39</v>
      </c>
      <c r="Y305" s="9" t="s">
        <v>40</v>
      </c>
      <c r="Z305" s="9" t="s">
        <v>41</v>
      </c>
      <c r="AA305" s="9" t="s">
        <v>42</v>
      </c>
      <c r="AB305" s="12" t="s">
        <v>111</v>
      </c>
      <c r="AC305" s="9">
        <v>6</v>
      </c>
    </row>
    <row r="306" spans="1:29" ht="22.5" customHeight="1">
      <c r="A306" s="9" t="s">
        <v>73</v>
      </c>
      <c r="B306" s="9" t="s">
        <v>610</v>
      </c>
      <c r="C306" s="9" t="s">
        <v>75</v>
      </c>
      <c r="D306" s="9" t="s">
        <v>31</v>
      </c>
      <c r="E306" s="9"/>
      <c r="F306" s="9"/>
      <c r="G306" s="9">
        <v>1</v>
      </c>
      <c r="H306" s="10"/>
      <c r="I306" s="9"/>
      <c r="J306" s="9" t="s">
        <v>611</v>
      </c>
      <c r="K306" s="9"/>
      <c r="L306" s="9"/>
      <c r="M306" s="10" t="s">
        <v>612</v>
      </c>
      <c r="N306" s="10" t="s">
        <v>613</v>
      </c>
      <c r="O306" s="9" t="s">
        <v>81</v>
      </c>
      <c r="P306" s="9" t="s">
        <v>82</v>
      </c>
      <c r="Q306" s="9" t="s">
        <v>83</v>
      </c>
      <c r="R306" s="9" t="s">
        <v>84</v>
      </c>
      <c r="S306" s="9" t="s">
        <v>85</v>
      </c>
      <c r="T306" s="11" t="s">
        <v>86</v>
      </c>
      <c r="U306" s="12" t="s">
        <v>297</v>
      </c>
      <c r="V306" s="12" t="s">
        <v>297</v>
      </c>
      <c r="W306" s="9">
        <v>10</v>
      </c>
      <c r="X306" s="9" t="s">
        <v>39</v>
      </c>
      <c r="Y306" s="9" t="s">
        <v>40</v>
      </c>
      <c r="Z306" s="9" t="s">
        <v>41</v>
      </c>
      <c r="AA306" s="9" t="s">
        <v>42</v>
      </c>
      <c r="AB306" s="9"/>
      <c r="AC306" s="9"/>
    </row>
    <row r="307" spans="1:29" ht="22.5" customHeight="1">
      <c r="A307" s="9" t="s">
        <v>73</v>
      </c>
      <c r="B307" s="9" t="s">
        <v>614</v>
      </c>
      <c r="C307" s="9" t="s">
        <v>75</v>
      </c>
      <c r="D307" s="9" t="s">
        <v>76</v>
      </c>
      <c r="E307" s="9"/>
      <c r="F307" s="9"/>
      <c r="G307" s="9">
        <v>1</v>
      </c>
      <c r="H307" s="10"/>
      <c r="I307" s="9"/>
      <c r="J307" s="9" t="s">
        <v>611</v>
      </c>
      <c r="K307" s="9"/>
      <c r="L307" s="9"/>
      <c r="M307" s="10" t="s">
        <v>615</v>
      </c>
      <c r="N307" s="10" t="s">
        <v>616</v>
      </c>
      <c r="O307" s="9" t="s">
        <v>81</v>
      </c>
      <c r="P307" s="9" t="s">
        <v>82</v>
      </c>
      <c r="Q307" s="9" t="s">
        <v>83</v>
      </c>
      <c r="R307" s="9" t="s">
        <v>84</v>
      </c>
      <c r="S307" s="9" t="s">
        <v>85</v>
      </c>
      <c r="T307" s="11" t="s">
        <v>86</v>
      </c>
      <c r="U307" s="12" t="s">
        <v>139</v>
      </c>
      <c r="V307" s="12" t="s">
        <v>136</v>
      </c>
      <c r="W307" s="9">
        <v>0</v>
      </c>
      <c r="X307" s="9" t="s">
        <v>84</v>
      </c>
      <c r="Y307" s="9" t="s">
        <v>85</v>
      </c>
      <c r="Z307" s="9" t="s">
        <v>86</v>
      </c>
      <c r="AA307" s="9" t="s">
        <v>89</v>
      </c>
      <c r="AB307" s="12" t="s">
        <v>136</v>
      </c>
      <c r="AC307" s="9">
        <v>55</v>
      </c>
    </row>
    <row r="308" spans="1:29" ht="22.5" customHeight="1">
      <c r="A308" s="9" t="s">
        <v>73</v>
      </c>
      <c r="B308" s="9" t="s">
        <v>617</v>
      </c>
      <c r="C308" s="9" t="s">
        <v>75</v>
      </c>
      <c r="D308" s="9" t="s">
        <v>76</v>
      </c>
      <c r="E308" s="9"/>
      <c r="F308" s="9"/>
      <c r="G308" s="9">
        <v>1</v>
      </c>
      <c r="H308" s="10"/>
      <c r="I308" s="9"/>
      <c r="J308" s="9" t="s">
        <v>611</v>
      </c>
      <c r="K308" s="9"/>
      <c r="L308" s="9"/>
      <c r="M308" s="10" t="s">
        <v>618</v>
      </c>
      <c r="N308" s="10" t="s">
        <v>619</v>
      </c>
      <c r="O308" s="9" t="s">
        <v>81</v>
      </c>
      <c r="P308" s="9" t="s">
        <v>82</v>
      </c>
      <c r="Q308" s="9" t="s">
        <v>83</v>
      </c>
      <c r="R308" s="9" t="s">
        <v>84</v>
      </c>
      <c r="S308" s="9" t="s">
        <v>85</v>
      </c>
      <c r="T308" s="11" t="s">
        <v>86</v>
      </c>
      <c r="U308" s="12" t="s">
        <v>139</v>
      </c>
      <c r="V308" s="12" t="s">
        <v>136</v>
      </c>
      <c r="W308" s="9">
        <v>0</v>
      </c>
      <c r="X308" s="9" t="s">
        <v>84</v>
      </c>
      <c r="Y308" s="9" t="s">
        <v>85</v>
      </c>
      <c r="Z308" s="9" t="s">
        <v>86</v>
      </c>
      <c r="AA308" s="9" t="s">
        <v>89</v>
      </c>
      <c r="AB308" s="12" t="s">
        <v>136</v>
      </c>
      <c r="AC308" s="9">
        <v>56</v>
      </c>
    </row>
    <row r="309" spans="1:29" ht="22.5" customHeight="1">
      <c r="A309" s="9" t="s">
        <v>73</v>
      </c>
      <c r="B309" s="9" t="s">
        <v>620</v>
      </c>
      <c r="C309" s="9" t="s">
        <v>75</v>
      </c>
      <c r="D309" s="9" t="s">
        <v>31</v>
      </c>
      <c r="E309" s="9"/>
      <c r="F309" s="9"/>
      <c r="G309" s="9">
        <v>1</v>
      </c>
      <c r="H309" s="10"/>
      <c r="I309" s="9"/>
      <c r="J309" s="9" t="s">
        <v>611</v>
      </c>
      <c r="K309" s="9"/>
      <c r="L309" s="9"/>
      <c r="M309" s="10" t="s">
        <v>621</v>
      </c>
      <c r="N309" s="10" t="s">
        <v>622</v>
      </c>
      <c r="O309" s="9" t="s">
        <v>81</v>
      </c>
      <c r="P309" s="9" t="s">
        <v>82</v>
      </c>
      <c r="Q309" s="9" t="s">
        <v>83</v>
      </c>
      <c r="R309" s="9" t="s">
        <v>84</v>
      </c>
      <c r="S309" s="9" t="s">
        <v>85</v>
      </c>
      <c r="T309" s="11" t="s">
        <v>86</v>
      </c>
      <c r="U309" s="12" t="s">
        <v>297</v>
      </c>
      <c r="V309" s="12" t="s">
        <v>297</v>
      </c>
      <c r="W309" s="9">
        <v>10</v>
      </c>
      <c r="X309" s="9" t="s">
        <v>39</v>
      </c>
      <c r="Y309" s="9" t="s">
        <v>40</v>
      </c>
      <c r="Z309" s="9" t="s">
        <v>41</v>
      </c>
      <c r="AA309" s="9" t="s">
        <v>42</v>
      </c>
      <c r="AB309" s="9"/>
      <c r="AC309" s="9"/>
    </row>
    <row r="310" spans="1:29" ht="22.5" customHeight="1">
      <c r="A310" s="9" t="s">
        <v>73</v>
      </c>
      <c r="B310" s="9" t="s">
        <v>623</v>
      </c>
      <c r="C310" s="9" t="s">
        <v>75</v>
      </c>
      <c r="D310" s="9" t="s">
        <v>76</v>
      </c>
      <c r="E310" s="9"/>
      <c r="F310" s="9"/>
      <c r="G310" s="9">
        <v>1</v>
      </c>
      <c r="H310" s="10"/>
      <c r="I310" s="9"/>
      <c r="J310" s="9" t="s">
        <v>611</v>
      </c>
      <c r="K310" s="9"/>
      <c r="L310" s="9"/>
      <c r="M310" s="10" t="s">
        <v>624</v>
      </c>
      <c r="N310" s="10" t="s">
        <v>625</v>
      </c>
      <c r="O310" s="9" t="s">
        <v>81</v>
      </c>
      <c r="P310" s="9" t="s">
        <v>82</v>
      </c>
      <c r="Q310" s="9" t="s">
        <v>83</v>
      </c>
      <c r="R310" s="9" t="s">
        <v>84</v>
      </c>
      <c r="S310" s="9" t="s">
        <v>85</v>
      </c>
      <c r="T310" s="11" t="s">
        <v>86</v>
      </c>
      <c r="U310" s="12" t="s">
        <v>139</v>
      </c>
      <c r="V310" s="12" t="s">
        <v>136</v>
      </c>
      <c r="W310" s="9">
        <v>0</v>
      </c>
      <c r="X310" s="9" t="s">
        <v>84</v>
      </c>
      <c r="Y310" s="9" t="s">
        <v>85</v>
      </c>
      <c r="Z310" s="9" t="s">
        <v>86</v>
      </c>
      <c r="AA310" s="9" t="s">
        <v>89</v>
      </c>
      <c r="AB310" s="12" t="s">
        <v>136</v>
      </c>
      <c r="AC310" s="9">
        <v>57</v>
      </c>
    </row>
    <row r="311" spans="1:29" ht="22.5" customHeight="1">
      <c r="A311" s="9" t="s">
        <v>73</v>
      </c>
      <c r="B311" s="9" t="s">
        <v>626</v>
      </c>
      <c r="C311" s="9" t="s">
        <v>75</v>
      </c>
      <c r="D311" s="9" t="s">
        <v>76</v>
      </c>
      <c r="E311" s="9"/>
      <c r="F311" s="9"/>
      <c r="G311" s="9">
        <v>1</v>
      </c>
      <c r="H311" s="10"/>
      <c r="I311" s="9"/>
      <c r="J311" s="9" t="s">
        <v>611</v>
      </c>
      <c r="K311" s="9"/>
      <c r="L311" s="9"/>
      <c r="M311" s="10" t="s">
        <v>627</v>
      </c>
      <c r="N311" s="10" t="s">
        <v>628</v>
      </c>
      <c r="O311" s="9" t="s">
        <v>81</v>
      </c>
      <c r="P311" s="9" t="s">
        <v>82</v>
      </c>
      <c r="Q311" s="9" t="s">
        <v>83</v>
      </c>
      <c r="R311" s="9" t="s">
        <v>84</v>
      </c>
      <c r="S311" s="9" t="s">
        <v>85</v>
      </c>
      <c r="T311" s="11" t="s">
        <v>86</v>
      </c>
      <c r="U311" s="12" t="s">
        <v>139</v>
      </c>
      <c r="V311" s="12" t="s">
        <v>136</v>
      </c>
      <c r="W311" s="9">
        <v>0</v>
      </c>
      <c r="X311" s="9" t="s">
        <v>84</v>
      </c>
      <c r="Y311" s="9" t="s">
        <v>85</v>
      </c>
      <c r="Z311" s="9" t="s">
        <v>86</v>
      </c>
      <c r="AA311" s="9" t="s">
        <v>89</v>
      </c>
      <c r="AB311" s="12" t="s">
        <v>136</v>
      </c>
      <c r="AC311" s="9">
        <v>58</v>
      </c>
    </row>
    <row r="312" spans="1:29" ht="22.5" customHeight="1">
      <c r="A312" s="9" t="s">
        <v>73</v>
      </c>
      <c r="B312" s="9" t="s">
        <v>629</v>
      </c>
      <c r="C312" s="9" t="s">
        <v>75</v>
      </c>
      <c r="D312" s="9" t="s">
        <v>76</v>
      </c>
      <c r="E312" s="9"/>
      <c r="F312" s="9"/>
      <c r="G312" s="9">
        <v>1</v>
      </c>
      <c r="H312" s="10"/>
      <c r="I312" s="9"/>
      <c r="J312" s="9" t="s">
        <v>611</v>
      </c>
      <c r="K312" s="9"/>
      <c r="L312" s="9"/>
      <c r="M312" s="10" t="s">
        <v>630</v>
      </c>
      <c r="N312" s="10" t="s">
        <v>631</v>
      </c>
      <c r="O312" s="9" t="s">
        <v>81</v>
      </c>
      <c r="P312" s="9" t="s">
        <v>82</v>
      </c>
      <c r="Q312" s="9" t="s">
        <v>83</v>
      </c>
      <c r="R312" s="9" t="s">
        <v>84</v>
      </c>
      <c r="S312" s="9" t="s">
        <v>85</v>
      </c>
      <c r="T312" s="11" t="s">
        <v>86</v>
      </c>
      <c r="U312" s="12" t="s">
        <v>139</v>
      </c>
      <c r="V312" s="12" t="s">
        <v>136</v>
      </c>
      <c r="W312" s="9">
        <v>0</v>
      </c>
      <c r="X312" s="9" t="s">
        <v>84</v>
      </c>
      <c r="Y312" s="9" t="s">
        <v>85</v>
      </c>
      <c r="Z312" s="9" t="s">
        <v>86</v>
      </c>
      <c r="AA312" s="9" t="s">
        <v>89</v>
      </c>
      <c r="AB312" s="12" t="s">
        <v>136</v>
      </c>
      <c r="AC312" s="9">
        <v>59</v>
      </c>
    </row>
    <row r="313" spans="1:29" ht="22.5" customHeight="1">
      <c r="A313" s="9" t="s">
        <v>73</v>
      </c>
      <c r="B313" s="9" t="s">
        <v>632</v>
      </c>
      <c r="C313" s="9" t="s">
        <v>75</v>
      </c>
      <c r="D313" s="9" t="s">
        <v>76</v>
      </c>
      <c r="E313" s="9"/>
      <c r="F313" s="9"/>
      <c r="G313" s="9">
        <v>1</v>
      </c>
      <c r="H313" s="10"/>
      <c r="I313" s="9"/>
      <c r="J313" s="9" t="s">
        <v>611</v>
      </c>
      <c r="K313" s="9"/>
      <c r="L313" s="9"/>
      <c r="M313" s="10" t="s">
        <v>633</v>
      </c>
      <c r="N313" s="10" t="s">
        <v>634</v>
      </c>
      <c r="O313" s="9" t="s">
        <v>81</v>
      </c>
      <c r="P313" s="9" t="s">
        <v>82</v>
      </c>
      <c r="Q313" s="9" t="s">
        <v>83</v>
      </c>
      <c r="R313" s="9" t="s">
        <v>84</v>
      </c>
      <c r="S313" s="9" t="s">
        <v>85</v>
      </c>
      <c r="T313" s="11" t="s">
        <v>86</v>
      </c>
      <c r="U313" s="12" t="s">
        <v>139</v>
      </c>
      <c r="V313" s="12" t="s">
        <v>136</v>
      </c>
      <c r="W313" s="9">
        <v>0</v>
      </c>
      <c r="X313" s="9" t="s">
        <v>84</v>
      </c>
      <c r="Y313" s="9" t="s">
        <v>85</v>
      </c>
      <c r="Z313" s="9" t="s">
        <v>86</v>
      </c>
      <c r="AA313" s="9" t="s">
        <v>89</v>
      </c>
      <c r="AB313" s="12" t="s">
        <v>136</v>
      </c>
      <c r="AC313" s="9">
        <v>60</v>
      </c>
    </row>
    <row r="314" spans="1:29" ht="22.5" customHeight="1">
      <c r="A314" s="9" t="s">
        <v>73</v>
      </c>
      <c r="B314" s="9" t="s">
        <v>635</v>
      </c>
      <c r="C314" s="9" t="s">
        <v>75</v>
      </c>
      <c r="D314" s="9" t="s">
        <v>31</v>
      </c>
      <c r="E314" s="9"/>
      <c r="F314" s="9"/>
      <c r="G314" s="9">
        <v>1</v>
      </c>
      <c r="H314" s="10"/>
      <c r="I314" s="9"/>
      <c r="J314" s="9" t="s">
        <v>611</v>
      </c>
      <c r="K314" s="9"/>
      <c r="L314" s="9"/>
      <c r="M314" s="10" t="s">
        <v>636</v>
      </c>
      <c r="N314" s="10" t="s">
        <v>636</v>
      </c>
      <c r="O314" s="9" t="s">
        <v>81</v>
      </c>
      <c r="P314" s="9" t="s">
        <v>82</v>
      </c>
      <c r="Q314" s="9" t="s">
        <v>83</v>
      </c>
      <c r="R314" s="9" t="s">
        <v>84</v>
      </c>
      <c r="S314" s="9" t="s">
        <v>85</v>
      </c>
      <c r="T314" s="11" t="s">
        <v>86</v>
      </c>
      <c r="U314" s="12" t="s">
        <v>297</v>
      </c>
      <c r="V314" s="12" t="s">
        <v>297</v>
      </c>
      <c r="W314" s="9">
        <v>10</v>
      </c>
      <c r="X314" s="9" t="s">
        <v>39</v>
      </c>
      <c r="Y314" s="9" t="s">
        <v>40</v>
      </c>
      <c r="Z314" s="9" t="s">
        <v>41</v>
      </c>
      <c r="AA314" s="9" t="s">
        <v>42</v>
      </c>
      <c r="AB314" s="9"/>
      <c r="AC314" s="9"/>
    </row>
    <row r="315" spans="1:29" ht="22.5" customHeight="1">
      <c r="A315" s="9" t="s">
        <v>73</v>
      </c>
      <c r="B315" s="9" t="s">
        <v>637</v>
      </c>
      <c r="C315" s="9" t="s">
        <v>75</v>
      </c>
      <c r="D315" s="9" t="s">
        <v>76</v>
      </c>
      <c r="E315" s="9"/>
      <c r="F315" s="9"/>
      <c r="G315" s="9">
        <v>1</v>
      </c>
      <c r="H315" s="10"/>
      <c r="I315" s="9"/>
      <c r="J315" s="9" t="s">
        <v>611</v>
      </c>
      <c r="K315" s="9"/>
      <c r="L315" s="9"/>
      <c r="M315" s="10" t="s">
        <v>638</v>
      </c>
      <c r="N315" s="10" t="s">
        <v>639</v>
      </c>
      <c r="O315" s="9" t="s">
        <v>81</v>
      </c>
      <c r="P315" s="9" t="s">
        <v>82</v>
      </c>
      <c r="Q315" s="9" t="s">
        <v>83</v>
      </c>
      <c r="R315" s="9" t="s">
        <v>84</v>
      </c>
      <c r="S315" s="9" t="s">
        <v>85</v>
      </c>
      <c r="T315" s="11" t="s">
        <v>86</v>
      </c>
      <c r="U315" s="12" t="s">
        <v>139</v>
      </c>
      <c r="V315" s="12" t="s">
        <v>136</v>
      </c>
      <c r="W315" s="9">
        <v>0</v>
      </c>
      <c r="X315" s="9" t="s">
        <v>84</v>
      </c>
      <c r="Y315" s="9" t="s">
        <v>85</v>
      </c>
      <c r="Z315" s="9" t="s">
        <v>86</v>
      </c>
      <c r="AA315" s="9" t="s">
        <v>89</v>
      </c>
      <c r="AB315" s="12" t="s">
        <v>136</v>
      </c>
      <c r="AC315" s="9">
        <v>61</v>
      </c>
    </row>
    <row r="316" spans="1:29" ht="22.5" customHeight="1">
      <c r="A316" s="9" t="s">
        <v>73</v>
      </c>
      <c r="B316" s="9" t="s">
        <v>640</v>
      </c>
      <c r="C316" s="9" t="s">
        <v>75</v>
      </c>
      <c r="D316" s="9" t="s">
        <v>76</v>
      </c>
      <c r="E316" s="9"/>
      <c r="F316" s="9"/>
      <c r="G316" s="9">
        <v>1</v>
      </c>
      <c r="H316" s="10"/>
      <c r="I316" s="9"/>
      <c r="J316" s="9" t="s">
        <v>611</v>
      </c>
      <c r="K316" s="9"/>
      <c r="L316" s="9"/>
      <c r="M316" s="10" t="s">
        <v>641</v>
      </c>
      <c r="N316" s="10" t="s">
        <v>642</v>
      </c>
      <c r="O316" s="9" t="s">
        <v>81</v>
      </c>
      <c r="P316" s="9" t="s">
        <v>82</v>
      </c>
      <c r="Q316" s="9" t="s">
        <v>83</v>
      </c>
      <c r="R316" s="9" t="s">
        <v>84</v>
      </c>
      <c r="S316" s="9" t="s">
        <v>85</v>
      </c>
      <c r="T316" s="11" t="s">
        <v>86</v>
      </c>
      <c r="U316" s="12" t="s">
        <v>139</v>
      </c>
      <c r="V316" s="12" t="s">
        <v>136</v>
      </c>
      <c r="W316" s="9">
        <v>0</v>
      </c>
      <c r="X316" s="9" t="s">
        <v>84</v>
      </c>
      <c r="Y316" s="9" t="s">
        <v>85</v>
      </c>
      <c r="Z316" s="9" t="s">
        <v>86</v>
      </c>
      <c r="AA316" s="9" t="s">
        <v>89</v>
      </c>
      <c r="AB316" s="12" t="s">
        <v>136</v>
      </c>
      <c r="AC316" s="9">
        <v>62</v>
      </c>
    </row>
    <row r="317" spans="1:29" ht="22.5" customHeight="1">
      <c r="A317" s="9" t="s">
        <v>141</v>
      </c>
      <c r="B317" s="9" t="s">
        <v>643</v>
      </c>
      <c r="C317" s="9" t="s">
        <v>75</v>
      </c>
      <c r="D317" s="9" t="s">
        <v>31</v>
      </c>
      <c r="E317" s="9"/>
      <c r="F317" s="9"/>
      <c r="G317" s="9" t="s">
        <v>34</v>
      </c>
      <c r="H317" s="10"/>
      <c r="I317" s="9"/>
      <c r="J317" s="9" t="s">
        <v>77</v>
      </c>
      <c r="K317" s="13" t="s">
        <v>78</v>
      </c>
      <c r="L317" s="9"/>
      <c r="M317" s="10" t="s">
        <v>644</v>
      </c>
      <c r="N317" s="10" t="str">
        <f>IFERROR(VLOOKUP(M317,[1]DESC!A:B,2,FALSE),"")</f>
        <v/>
      </c>
      <c r="O317" s="9" t="s">
        <v>81</v>
      </c>
      <c r="P317" s="9" t="s">
        <v>82</v>
      </c>
      <c r="Q317" s="9" t="s">
        <v>83</v>
      </c>
      <c r="R317" s="9" t="s">
        <v>84</v>
      </c>
      <c r="S317" s="9" t="s">
        <v>85</v>
      </c>
      <c r="T317" s="11" t="s">
        <v>86</v>
      </c>
      <c r="U317" s="12" t="s">
        <v>282</v>
      </c>
      <c r="V317" s="12" t="s">
        <v>260</v>
      </c>
      <c r="W317" s="9">
        <v>10</v>
      </c>
      <c r="X317" s="9" t="s">
        <v>39</v>
      </c>
      <c r="Y317" s="9" t="s">
        <v>40</v>
      </c>
      <c r="Z317" s="9" t="s">
        <v>41</v>
      </c>
      <c r="AA317" s="9" t="s">
        <v>42</v>
      </c>
      <c r="AB317" s="9"/>
      <c r="AC317" s="9"/>
    </row>
    <row r="318" spans="1:29" ht="22.5" customHeight="1">
      <c r="A318" s="9" t="s">
        <v>73</v>
      </c>
      <c r="B318" s="9" t="s">
        <v>645</v>
      </c>
      <c r="C318" s="9" t="s">
        <v>75</v>
      </c>
      <c r="D318" s="9" t="s">
        <v>76</v>
      </c>
      <c r="E318" s="9"/>
      <c r="F318" s="9"/>
      <c r="G318" s="9">
        <v>1</v>
      </c>
      <c r="H318" s="10"/>
      <c r="I318" s="9"/>
      <c r="J318" s="9" t="s">
        <v>77</v>
      </c>
      <c r="K318" s="13" t="s">
        <v>78</v>
      </c>
      <c r="L318" s="9"/>
      <c r="M318" s="10" t="s">
        <v>646</v>
      </c>
      <c r="N318" s="10" t="s">
        <v>647</v>
      </c>
      <c r="O318" s="9" t="s">
        <v>81</v>
      </c>
      <c r="P318" s="9" t="s">
        <v>82</v>
      </c>
      <c r="Q318" s="9" t="s">
        <v>83</v>
      </c>
      <c r="R318" s="9" t="s">
        <v>84</v>
      </c>
      <c r="S318" s="9" t="s">
        <v>85</v>
      </c>
      <c r="T318" s="11" t="s">
        <v>86</v>
      </c>
      <c r="U318" s="12" t="s">
        <v>87</v>
      </c>
      <c r="V318" s="12" t="s">
        <v>410</v>
      </c>
      <c r="W318" s="9">
        <v>0</v>
      </c>
      <c r="X318" s="9" t="s">
        <v>84</v>
      </c>
      <c r="Y318" s="9" t="s">
        <v>85</v>
      </c>
      <c r="Z318" s="9" t="s">
        <v>86</v>
      </c>
      <c r="AA318" s="9" t="s">
        <v>89</v>
      </c>
      <c r="AB318" s="12" t="s">
        <v>406</v>
      </c>
      <c r="AC318" s="9">
        <v>38</v>
      </c>
    </row>
    <row r="319" spans="1:29" ht="22.5" customHeight="1">
      <c r="A319" s="9" t="s">
        <v>73</v>
      </c>
      <c r="B319" s="9" t="s">
        <v>648</v>
      </c>
      <c r="C319" s="9" t="s">
        <v>113</v>
      </c>
      <c r="D319" s="9" t="s">
        <v>31</v>
      </c>
      <c r="E319" s="9"/>
      <c r="F319" s="9"/>
      <c r="G319" s="9">
        <v>1</v>
      </c>
      <c r="H319" s="10"/>
      <c r="I319" s="9"/>
      <c r="J319" s="9" t="s">
        <v>649</v>
      </c>
      <c r="K319" s="9"/>
      <c r="L319" s="9"/>
      <c r="M319" s="10" t="s">
        <v>650</v>
      </c>
      <c r="N319" s="10" t="s">
        <v>651</v>
      </c>
      <c r="O319" s="9" t="s">
        <v>116</v>
      </c>
      <c r="P319" s="9" t="s">
        <v>117</v>
      </c>
      <c r="Q319" s="9" t="s">
        <v>118</v>
      </c>
      <c r="R319" s="9" t="s">
        <v>119</v>
      </c>
      <c r="S319" s="9" t="s">
        <v>120</v>
      </c>
      <c r="T319" s="11" t="s">
        <v>121</v>
      </c>
      <c r="U319" s="12" t="s">
        <v>297</v>
      </c>
      <c r="V319" s="12" t="s">
        <v>297</v>
      </c>
      <c r="W319" s="9">
        <v>10</v>
      </c>
      <c r="X319" s="9" t="s">
        <v>39</v>
      </c>
      <c r="Y319" s="9" t="s">
        <v>40</v>
      </c>
      <c r="Z319" s="9" t="s">
        <v>41</v>
      </c>
      <c r="AA319" s="9" t="s">
        <v>42</v>
      </c>
      <c r="AB319" s="9"/>
      <c r="AC319" s="9"/>
    </row>
    <row r="320" spans="1:29" ht="22.5" customHeight="1">
      <c r="A320" s="9" t="s">
        <v>73</v>
      </c>
      <c r="B320" s="9" t="s">
        <v>652</v>
      </c>
      <c r="C320" s="9" t="s">
        <v>113</v>
      </c>
      <c r="D320" s="9" t="s">
        <v>31</v>
      </c>
      <c r="E320" s="9"/>
      <c r="F320" s="9"/>
      <c r="G320" s="9">
        <v>1</v>
      </c>
      <c r="H320" s="10"/>
      <c r="I320" s="9"/>
      <c r="J320" s="9" t="s">
        <v>649</v>
      </c>
      <c r="K320" s="9"/>
      <c r="L320" s="9"/>
      <c r="M320" s="10" t="s">
        <v>653</v>
      </c>
      <c r="N320" s="10" t="s">
        <v>654</v>
      </c>
      <c r="O320" s="9" t="s">
        <v>116</v>
      </c>
      <c r="P320" s="9" t="s">
        <v>117</v>
      </c>
      <c r="Q320" s="9" t="s">
        <v>118</v>
      </c>
      <c r="R320" s="9" t="s">
        <v>119</v>
      </c>
      <c r="S320" s="9" t="s">
        <v>120</v>
      </c>
      <c r="T320" s="11" t="s">
        <v>121</v>
      </c>
      <c r="U320" s="12" t="s">
        <v>297</v>
      </c>
      <c r="V320" s="12" t="s">
        <v>297</v>
      </c>
      <c r="W320" s="9">
        <v>10</v>
      </c>
      <c r="X320" s="9" t="s">
        <v>39</v>
      </c>
      <c r="Y320" s="9" t="s">
        <v>40</v>
      </c>
      <c r="Z320" s="9" t="s">
        <v>41</v>
      </c>
      <c r="AA320" s="9" t="s">
        <v>42</v>
      </c>
      <c r="AB320" s="9"/>
      <c r="AC320" s="9"/>
    </row>
    <row r="321" spans="1:29" ht="22.5" customHeight="1">
      <c r="A321" s="9" t="s">
        <v>73</v>
      </c>
      <c r="B321" s="9" t="s">
        <v>655</v>
      </c>
      <c r="C321" s="9" t="s">
        <v>113</v>
      </c>
      <c r="D321" s="9" t="s">
        <v>31</v>
      </c>
      <c r="E321" s="9"/>
      <c r="F321" s="9"/>
      <c r="G321" s="9">
        <v>1</v>
      </c>
      <c r="H321" s="10"/>
      <c r="I321" s="9"/>
      <c r="J321" s="9" t="s">
        <v>649</v>
      </c>
      <c r="K321" s="9"/>
      <c r="L321" s="9"/>
      <c r="M321" s="10" t="s">
        <v>656</v>
      </c>
      <c r="N321" s="10" t="s">
        <v>657</v>
      </c>
      <c r="O321" s="9" t="s">
        <v>116</v>
      </c>
      <c r="P321" s="9" t="s">
        <v>117</v>
      </c>
      <c r="Q321" s="9" t="s">
        <v>118</v>
      </c>
      <c r="R321" s="9" t="s">
        <v>119</v>
      </c>
      <c r="S321" s="9" t="s">
        <v>120</v>
      </c>
      <c r="T321" s="11" t="s">
        <v>121</v>
      </c>
      <c r="U321" s="12" t="s">
        <v>297</v>
      </c>
      <c r="V321" s="12" t="s">
        <v>297</v>
      </c>
      <c r="W321" s="9">
        <v>10</v>
      </c>
      <c r="X321" s="9" t="s">
        <v>39</v>
      </c>
      <c r="Y321" s="9" t="s">
        <v>40</v>
      </c>
      <c r="Z321" s="9" t="s">
        <v>41</v>
      </c>
      <c r="AA321" s="9" t="s">
        <v>42</v>
      </c>
      <c r="AB321" s="9"/>
      <c r="AC321" s="9"/>
    </row>
    <row r="322" spans="1:29" ht="22.5" customHeight="1">
      <c r="A322" s="9" t="s">
        <v>73</v>
      </c>
      <c r="B322" s="9" t="s">
        <v>658</v>
      </c>
      <c r="C322" s="9" t="s">
        <v>113</v>
      </c>
      <c r="D322" s="9" t="s">
        <v>76</v>
      </c>
      <c r="E322" s="9"/>
      <c r="F322" s="9"/>
      <c r="G322" s="9">
        <v>1</v>
      </c>
      <c r="H322" s="10"/>
      <c r="I322" s="9"/>
      <c r="J322" s="9" t="s">
        <v>649</v>
      </c>
      <c r="K322" s="9"/>
      <c r="L322" s="9"/>
      <c r="M322" s="10" t="s">
        <v>659</v>
      </c>
      <c r="N322" s="10" t="s">
        <v>660</v>
      </c>
      <c r="O322" s="9" t="s">
        <v>116</v>
      </c>
      <c r="P322" s="9" t="s">
        <v>117</v>
      </c>
      <c r="Q322" s="9" t="s">
        <v>118</v>
      </c>
      <c r="R322" s="9" t="s">
        <v>119</v>
      </c>
      <c r="S322" s="9" t="s">
        <v>120</v>
      </c>
      <c r="T322" s="11" t="s">
        <v>121</v>
      </c>
      <c r="U322" s="12" t="s">
        <v>303</v>
      </c>
      <c r="V322" s="12" t="s">
        <v>150</v>
      </c>
      <c r="W322" s="9">
        <v>0</v>
      </c>
      <c r="X322" s="9" t="s">
        <v>119</v>
      </c>
      <c r="Y322" s="9" t="s">
        <v>120</v>
      </c>
      <c r="Z322" s="9" t="s">
        <v>121</v>
      </c>
      <c r="AA322" s="9" t="s">
        <v>271</v>
      </c>
      <c r="AB322" s="12" t="s">
        <v>136</v>
      </c>
      <c r="AC322" s="9">
        <v>79</v>
      </c>
    </row>
    <row r="323" spans="1:29" ht="22.5" customHeight="1">
      <c r="A323" s="9" t="s">
        <v>73</v>
      </c>
      <c r="B323" s="9" t="s">
        <v>661</v>
      </c>
      <c r="C323" s="9" t="s">
        <v>113</v>
      </c>
      <c r="D323" s="9" t="s">
        <v>76</v>
      </c>
      <c r="E323" s="9"/>
      <c r="F323" s="9"/>
      <c r="G323" s="9">
        <v>1</v>
      </c>
      <c r="H323" s="10"/>
      <c r="I323" s="9"/>
      <c r="J323" s="9" t="s">
        <v>649</v>
      </c>
      <c r="K323" s="9"/>
      <c r="L323" s="9"/>
      <c r="M323" s="10" t="s">
        <v>662</v>
      </c>
      <c r="N323" s="10" t="s">
        <v>663</v>
      </c>
      <c r="O323" s="9" t="s">
        <v>116</v>
      </c>
      <c r="P323" s="9" t="s">
        <v>117</v>
      </c>
      <c r="Q323" s="9" t="s">
        <v>118</v>
      </c>
      <c r="R323" s="9" t="s">
        <v>119</v>
      </c>
      <c r="S323" s="9" t="s">
        <v>120</v>
      </c>
      <c r="T323" s="11" t="s">
        <v>121</v>
      </c>
      <c r="U323" s="12" t="s">
        <v>303</v>
      </c>
      <c r="V323" s="12" t="s">
        <v>150</v>
      </c>
      <c r="W323" s="9">
        <v>0</v>
      </c>
      <c r="X323" s="9" t="s">
        <v>119</v>
      </c>
      <c r="Y323" s="9" t="s">
        <v>120</v>
      </c>
      <c r="Z323" s="9" t="s">
        <v>121</v>
      </c>
      <c r="AA323" s="9" t="s">
        <v>271</v>
      </c>
      <c r="AB323" s="12" t="s">
        <v>136</v>
      </c>
      <c r="AC323" s="9">
        <v>80</v>
      </c>
    </row>
    <row r="324" spans="1:29" ht="22.5" customHeight="1">
      <c r="A324" s="9" t="s">
        <v>73</v>
      </c>
      <c r="B324" s="9" t="s">
        <v>664</v>
      </c>
      <c r="C324" s="9" t="s">
        <v>113</v>
      </c>
      <c r="D324" s="9" t="s">
        <v>76</v>
      </c>
      <c r="E324" s="9"/>
      <c r="F324" s="9"/>
      <c r="G324" s="9">
        <v>1</v>
      </c>
      <c r="H324" s="10"/>
      <c r="I324" s="9"/>
      <c r="J324" s="9" t="s">
        <v>649</v>
      </c>
      <c r="K324" s="9"/>
      <c r="L324" s="9"/>
      <c r="M324" s="10" t="s">
        <v>665</v>
      </c>
      <c r="N324" s="10" t="s">
        <v>666</v>
      </c>
      <c r="O324" s="9" t="s">
        <v>116</v>
      </c>
      <c r="P324" s="9" t="s">
        <v>117</v>
      </c>
      <c r="Q324" s="9" t="s">
        <v>118</v>
      </c>
      <c r="R324" s="9" t="s">
        <v>119</v>
      </c>
      <c r="S324" s="9" t="s">
        <v>120</v>
      </c>
      <c r="T324" s="11" t="s">
        <v>121</v>
      </c>
      <c r="U324" s="12" t="s">
        <v>303</v>
      </c>
      <c r="V324" s="12" t="s">
        <v>150</v>
      </c>
      <c r="W324" s="9">
        <v>0</v>
      </c>
      <c r="X324" s="9" t="s">
        <v>119</v>
      </c>
      <c r="Y324" s="9" t="s">
        <v>120</v>
      </c>
      <c r="Z324" s="9" t="s">
        <v>121</v>
      </c>
      <c r="AA324" s="9" t="s">
        <v>271</v>
      </c>
      <c r="AB324" s="12" t="s">
        <v>136</v>
      </c>
      <c r="AC324" s="9">
        <v>81</v>
      </c>
    </row>
    <row r="325" spans="1:29" ht="22.5" customHeight="1">
      <c r="A325" s="9" t="s">
        <v>73</v>
      </c>
      <c r="B325" s="9" t="s">
        <v>667</v>
      </c>
      <c r="C325" s="9" t="s">
        <v>113</v>
      </c>
      <c r="D325" s="9" t="s">
        <v>31</v>
      </c>
      <c r="E325" s="9"/>
      <c r="F325" s="9"/>
      <c r="G325" s="9">
        <v>1</v>
      </c>
      <c r="H325" s="10"/>
      <c r="I325" s="9"/>
      <c r="J325" s="9" t="s">
        <v>649</v>
      </c>
      <c r="K325" s="9"/>
      <c r="L325" s="9"/>
      <c r="M325" s="10" t="s">
        <v>668</v>
      </c>
      <c r="N325" s="10" t="s">
        <v>669</v>
      </c>
      <c r="O325" s="9" t="s">
        <v>116</v>
      </c>
      <c r="P325" s="9" t="s">
        <v>117</v>
      </c>
      <c r="Q325" s="9" t="s">
        <v>118</v>
      </c>
      <c r="R325" s="9" t="s">
        <v>119</v>
      </c>
      <c r="S325" s="9" t="s">
        <v>120</v>
      </c>
      <c r="T325" s="11" t="s">
        <v>121</v>
      </c>
      <c r="U325" s="12" t="s">
        <v>297</v>
      </c>
      <c r="V325" s="12" t="s">
        <v>297</v>
      </c>
      <c r="W325" s="9">
        <v>10</v>
      </c>
      <c r="X325" s="9" t="s">
        <v>39</v>
      </c>
      <c r="Y325" s="9" t="s">
        <v>40</v>
      </c>
      <c r="Z325" s="9" t="s">
        <v>41</v>
      </c>
      <c r="AA325" s="9" t="s">
        <v>42</v>
      </c>
      <c r="AB325" s="9"/>
      <c r="AC325" s="9"/>
    </row>
    <row r="326" spans="1:29" ht="22.5" customHeight="1">
      <c r="A326" s="9" t="s">
        <v>73</v>
      </c>
      <c r="B326" s="9" t="s">
        <v>670</v>
      </c>
      <c r="C326" s="9" t="s">
        <v>113</v>
      </c>
      <c r="D326" s="9" t="s">
        <v>76</v>
      </c>
      <c r="E326" s="9"/>
      <c r="F326" s="9"/>
      <c r="G326" s="9">
        <v>1</v>
      </c>
      <c r="H326" s="10"/>
      <c r="I326" s="9"/>
      <c r="J326" s="9" t="s">
        <v>649</v>
      </c>
      <c r="K326" s="9"/>
      <c r="L326" s="9"/>
      <c r="M326" s="10" t="s">
        <v>671</v>
      </c>
      <c r="N326" s="10" t="s">
        <v>672</v>
      </c>
      <c r="O326" s="9" t="s">
        <v>116</v>
      </c>
      <c r="P326" s="9" t="s">
        <v>117</v>
      </c>
      <c r="Q326" s="9" t="s">
        <v>118</v>
      </c>
      <c r="R326" s="9" t="s">
        <v>119</v>
      </c>
      <c r="S326" s="9" t="s">
        <v>120</v>
      </c>
      <c r="T326" s="11" t="s">
        <v>121</v>
      </c>
      <c r="U326" s="12" t="s">
        <v>303</v>
      </c>
      <c r="V326" s="12" t="s">
        <v>150</v>
      </c>
      <c r="W326" s="9">
        <v>0</v>
      </c>
      <c r="X326" s="9" t="s">
        <v>119</v>
      </c>
      <c r="Y326" s="9" t="s">
        <v>120</v>
      </c>
      <c r="Z326" s="9" t="s">
        <v>121</v>
      </c>
      <c r="AA326" s="9" t="s">
        <v>271</v>
      </c>
      <c r="AB326" s="12" t="s">
        <v>136</v>
      </c>
      <c r="AC326" s="9">
        <v>82</v>
      </c>
    </row>
    <row r="327" spans="1:29" ht="22.5" customHeight="1">
      <c r="A327" s="9" t="s">
        <v>73</v>
      </c>
      <c r="B327" s="9" t="s">
        <v>673</v>
      </c>
      <c r="C327" s="9" t="s">
        <v>113</v>
      </c>
      <c r="D327" s="9" t="s">
        <v>76</v>
      </c>
      <c r="E327" s="9"/>
      <c r="F327" s="9"/>
      <c r="G327" s="9">
        <v>1</v>
      </c>
      <c r="H327" s="10"/>
      <c r="I327" s="9"/>
      <c r="J327" s="9" t="s">
        <v>649</v>
      </c>
      <c r="K327" s="9"/>
      <c r="L327" s="9"/>
      <c r="M327" s="10" t="s">
        <v>319</v>
      </c>
      <c r="N327" s="10" t="s">
        <v>320</v>
      </c>
      <c r="O327" s="9" t="s">
        <v>116</v>
      </c>
      <c r="P327" s="9" t="s">
        <v>117</v>
      </c>
      <c r="Q327" s="9" t="s">
        <v>118</v>
      </c>
      <c r="R327" s="9" t="s">
        <v>119</v>
      </c>
      <c r="S327" s="9" t="s">
        <v>120</v>
      </c>
      <c r="T327" s="11" t="s">
        <v>121</v>
      </c>
      <c r="U327" s="12" t="s">
        <v>156</v>
      </c>
      <c r="V327" s="12" t="s">
        <v>218</v>
      </c>
      <c r="W327" s="9">
        <v>0</v>
      </c>
      <c r="X327" s="9" t="s">
        <v>39</v>
      </c>
      <c r="Y327" s="9" t="s">
        <v>40</v>
      </c>
      <c r="Z327" s="9" t="s">
        <v>41</v>
      </c>
      <c r="AA327" s="9" t="s">
        <v>42</v>
      </c>
      <c r="AB327" s="12" t="s">
        <v>136</v>
      </c>
      <c r="AC327" s="9">
        <v>83</v>
      </c>
    </row>
    <row r="328" spans="1:29" ht="22.5" customHeight="1">
      <c r="A328" s="9" t="s">
        <v>73</v>
      </c>
      <c r="B328" s="9" t="s">
        <v>674</v>
      </c>
      <c r="C328" s="9" t="s">
        <v>113</v>
      </c>
      <c r="D328" s="9" t="s">
        <v>76</v>
      </c>
      <c r="E328" s="9"/>
      <c r="F328" s="9"/>
      <c r="G328" s="9">
        <v>1</v>
      </c>
      <c r="H328" s="10"/>
      <c r="I328" s="9"/>
      <c r="J328" s="9" t="s">
        <v>649</v>
      </c>
      <c r="K328" s="9"/>
      <c r="L328" s="9"/>
      <c r="M328" s="10" t="s">
        <v>675</v>
      </c>
      <c r="N328" s="10" t="s">
        <v>676</v>
      </c>
      <c r="O328" s="9" t="s">
        <v>116</v>
      </c>
      <c r="P328" s="9" t="s">
        <v>117</v>
      </c>
      <c r="Q328" s="9" t="s">
        <v>118</v>
      </c>
      <c r="R328" s="9" t="s">
        <v>119</v>
      </c>
      <c r="S328" s="9" t="s">
        <v>120</v>
      </c>
      <c r="T328" s="11" t="s">
        <v>121</v>
      </c>
      <c r="U328" s="12" t="s">
        <v>303</v>
      </c>
      <c r="V328" s="12" t="s">
        <v>150</v>
      </c>
      <c r="W328" s="9">
        <v>0</v>
      </c>
      <c r="X328" s="9" t="s">
        <v>119</v>
      </c>
      <c r="Y328" s="9" t="s">
        <v>120</v>
      </c>
      <c r="Z328" s="9" t="s">
        <v>121</v>
      </c>
      <c r="AA328" s="9" t="s">
        <v>271</v>
      </c>
      <c r="AB328" s="12" t="s">
        <v>136</v>
      </c>
      <c r="AC328" s="9">
        <v>85</v>
      </c>
    </row>
    <row r="329" spans="1:29" ht="22.5" customHeight="1">
      <c r="A329" s="9" t="s">
        <v>73</v>
      </c>
      <c r="B329" s="9" t="s">
        <v>677</v>
      </c>
      <c r="C329" s="9" t="s">
        <v>113</v>
      </c>
      <c r="D329" s="9" t="s">
        <v>76</v>
      </c>
      <c r="E329" s="9"/>
      <c r="F329" s="9"/>
      <c r="G329" s="9">
        <v>1</v>
      </c>
      <c r="H329" s="10"/>
      <c r="I329" s="9"/>
      <c r="J329" s="9" t="s">
        <v>649</v>
      </c>
      <c r="K329" s="9"/>
      <c r="L329" s="9"/>
      <c r="M329" s="10" t="s">
        <v>678</v>
      </c>
      <c r="N329" s="10" t="s">
        <v>679</v>
      </c>
      <c r="O329" s="9" t="s">
        <v>116</v>
      </c>
      <c r="P329" s="9" t="s">
        <v>117</v>
      </c>
      <c r="Q329" s="9" t="s">
        <v>118</v>
      </c>
      <c r="R329" s="9" t="s">
        <v>119</v>
      </c>
      <c r="S329" s="9" t="s">
        <v>120</v>
      </c>
      <c r="T329" s="11" t="s">
        <v>121</v>
      </c>
      <c r="U329" s="12" t="s">
        <v>303</v>
      </c>
      <c r="V329" s="12" t="s">
        <v>150</v>
      </c>
      <c r="W329" s="9">
        <v>0</v>
      </c>
      <c r="X329" s="9" t="s">
        <v>119</v>
      </c>
      <c r="Y329" s="9" t="s">
        <v>120</v>
      </c>
      <c r="Z329" s="9" t="s">
        <v>121</v>
      </c>
      <c r="AA329" s="9" t="s">
        <v>271</v>
      </c>
      <c r="AB329" s="12" t="s">
        <v>136</v>
      </c>
      <c r="AC329" s="9">
        <v>86</v>
      </c>
    </row>
    <row r="330" spans="1:29" ht="22.5" customHeight="1">
      <c r="A330" s="9" t="s">
        <v>73</v>
      </c>
      <c r="B330" s="9" t="s">
        <v>680</v>
      </c>
      <c r="C330" s="9" t="s">
        <v>113</v>
      </c>
      <c r="D330" s="9" t="s">
        <v>76</v>
      </c>
      <c r="E330" s="9"/>
      <c r="F330" s="9"/>
      <c r="G330" s="9">
        <v>1</v>
      </c>
      <c r="H330" s="10"/>
      <c r="I330" s="9"/>
      <c r="J330" s="9" t="s">
        <v>681</v>
      </c>
      <c r="K330" s="9"/>
      <c r="L330" s="9"/>
      <c r="M330" s="10" t="s">
        <v>326</v>
      </c>
      <c r="N330" s="10" t="s">
        <v>682</v>
      </c>
      <c r="O330" s="9" t="s">
        <v>116</v>
      </c>
      <c r="P330" s="9" t="s">
        <v>117</v>
      </c>
      <c r="Q330" s="9" t="s">
        <v>118</v>
      </c>
      <c r="R330" s="9" t="s">
        <v>119</v>
      </c>
      <c r="S330" s="9" t="s">
        <v>120</v>
      </c>
      <c r="T330" s="11" t="s">
        <v>121</v>
      </c>
      <c r="U330" s="12" t="s">
        <v>303</v>
      </c>
      <c r="V330" s="12" t="s">
        <v>150</v>
      </c>
      <c r="W330" s="9">
        <v>0</v>
      </c>
      <c r="X330" s="9" t="s">
        <v>119</v>
      </c>
      <c r="Y330" s="9" t="s">
        <v>120</v>
      </c>
      <c r="Z330" s="9" t="s">
        <v>121</v>
      </c>
      <c r="AA330" s="9" t="s">
        <v>271</v>
      </c>
      <c r="AB330" s="12" t="s">
        <v>136</v>
      </c>
      <c r="AC330" s="9">
        <v>87</v>
      </c>
    </row>
    <row r="331" spans="1:29" ht="22.5" customHeight="1">
      <c r="A331" s="9" t="s">
        <v>73</v>
      </c>
      <c r="B331" s="9" t="s">
        <v>683</v>
      </c>
      <c r="C331" s="9" t="s">
        <v>113</v>
      </c>
      <c r="D331" s="9" t="s">
        <v>31</v>
      </c>
      <c r="E331" s="9"/>
      <c r="F331" s="9"/>
      <c r="G331" s="9">
        <v>1</v>
      </c>
      <c r="H331" s="10"/>
      <c r="I331" s="9"/>
      <c r="J331" s="9" t="s">
        <v>681</v>
      </c>
      <c r="K331" s="9"/>
      <c r="L331" s="9"/>
      <c r="M331" s="10" t="s">
        <v>684</v>
      </c>
      <c r="N331" s="10" t="s">
        <v>685</v>
      </c>
      <c r="O331" s="9" t="s">
        <v>116</v>
      </c>
      <c r="P331" s="9" t="s">
        <v>117</v>
      </c>
      <c r="Q331" s="9" t="s">
        <v>118</v>
      </c>
      <c r="R331" s="9" t="s">
        <v>119</v>
      </c>
      <c r="S331" s="9" t="s">
        <v>120</v>
      </c>
      <c r="T331" s="11" t="s">
        <v>121</v>
      </c>
      <c r="U331" s="12" t="s">
        <v>297</v>
      </c>
      <c r="V331" s="12" t="s">
        <v>297</v>
      </c>
      <c r="W331" s="9">
        <v>10</v>
      </c>
      <c r="X331" s="9" t="s">
        <v>39</v>
      </c>
      <c r="Y331" s="9" t="s">
        <v>40</v>
      </c>
      <c r="Z331" s="9" t="s">
        <v>41</v>
      </c>
      <c r="AA331" s="9" t="s">
        <v>42</v>
      </c>
      <c r="AB331" s="9"/>
      <c r="AC331" s="9"/>
    </row>
    <row r="332" spans="1:29" ht="22.5" customHeight="1">
      <c r="A332" s="9" t="s">
        <v>73</v>
      </c>
      <c r="B332" s="9" t="s">
        <v>686</v>
      </c>
      <c r="C332" s="9" t="s">
        <v>113</v>
      </c>
      <c r="D332" s="9" t="s">
        <v>76</v>
      </c>
      <c r="E332" s="9"/>
      <c r="F332" s="9"/>
      <c r="G332" s="9">
        <v>1</v>
      </c>
      <c r="H332" s="10"/>
      <c r="I332" s="9"/>
      <c r="J332" s="9" t="s">
        <v>681</v>
      </c>
      <c r="K332" s="9"/>
      <c r="L332" s="9"/>
      <c r="M332" s="10" t="s">
        <v>687</v>
      </c>
      <c r="N332" s="10" t="s">
        <v>688</v>
      </c>
      <c r="O332" s="9" t="s">
        <v>116</v>
      </c>
      <c r="P332" s="9" t="s">
        <v>117</v>
      </c>
      <c r="Q332" s="9" t="s">
        <v>118</v>
      </c>
      <c r="R332" s="9" t="s">
        <v>119</v>
      </c>
      <c r="S332" s="9" t="s">
        <v>120</v>
      </c>
      <c r="T332" s="11" t="s">
        <v>121</v>
      </c>
      <c r="U332" s="12" t="s">
        <v>303</v>
      </c>
      <c r="V332" s="12" t="s">
        <v>150</v>
      </c>
      <c r="W332" s="9">
        <v>0</v>
      </c>
      <c r="X332" s="9" t="s">
        <v>119</v>
      </c>
      <c r="Y332" s="9" t="s">
        <v>120</v>
      </c>
      <c r="Z332" s="9" t="s">
        <v>121</v>
      </c>
      <c r="AA332" s="9" t="s">
        <v>271</v>
      </c>
      <c r="AB332" s="12" t="s">
        <v>136</v>
      </c>
      <c r="AC332" s="9">
        <v>88</v>
      </c>
    </row>
    <row r="333" spans="1:29" ht="22.5" customHeight="1">
      <c r="A333" s="9" t="s">
        <v>73</v>
      </c>
      <c r="B333" s="9" t="s">
        <v>689</v>
      </c>
      <c r="C333" s="9" t="s">
        <v>113</v>
      </c>
      <c r="D333" s="9" t="s">
        <v>31</v>
      </c>
      <c r="E333" s="9"/>
      <c r="F333" s="9"/>
      <c r="G333" s="9">
        <v>1</v>
      </c>
      <c r="H333" s="10"/>
      <c r="I333" s="9"/>
      <c r="J333" s="9" t="s">
        <v>681</v>
      </c>
      <c r="K333" s="9"/>
      <c r="L333" s="9"/>
      <c r="M333" s="10" t="s">
        <v>650</v>
      </c>
      <c r="N333" s="10" t="s">
        <v>651</v>
      </c>
      <c r="O333" s="9" t="s">
        <v>116</v>
      </c>
      <c r="P333" s="9" t="s">
        <v>117</v>
      </c>
      <c r="Q333" s="9" t="s">
        <v>118</v>
      </c>
      <c r="R333" s="9" t="s">
        <v>119</v>
      </c>
      <c r="S333" s="9" t="s">
        <v>120</v>
      </c>
      <c r="T333" s="11" t="s">
        <v>121</v>
      </c>
      <c r="U333" s="12" t="s">
        <v>297</v>
      </c>
      <c r="V333" s="12" t="s">
        <v>297</v>
      </c>
      <c r="W333" s="9">
        <v>10</v>
      </c>
      <c r="X333" s="9" t="s">
        <v>39</v>
      </c>
      <c r="Y333" s="9" t="s">
        <v>40</v>
      </c>
      <c r="Z333" s="9" t="s">
        <v>41</v>
      </c>
      <c r="AA333" s="9" t="s">
        <v>42</v>
      </c>
      <c r="AB333" s="9"/>
      <c r="AC333" s="9"/>
    </row>
    <row r="334" spans="1:29" ht="22.5" customHeight="1">
      <c r="A334" s="9" t="s">
        <v>73</v>
      </c>
      <c r="B334" s="9" t="s">
        <v>690</v>
      </c>
      <c r="C334" s="9" t="s">
        <v>113</v>
      </c>
      <c r="D334" s="9" t="s">
        <v>31</v>
      </c>
      <c r="E334" s="9"/>
      <c r="F334" s="9"/>
      <c r="G334" s="9">
        <v>1</v>
      </c>
      <c r="H334" s="10"/>
      <c r="I334" s="9"/>
      <c r="J334" s="9" t="s">
        <v>681</v>
      </c>
      <c r="K334" s="9"/>
      <c r="L334" s="9"/>
      <c r="M334" s="10" t="s">
        <v>691</v>
      </c>
      <c r="N334" s="10" t="s">
        <v>692</v>
      </c>
      <c r="O334" s="9" t="s">
        <v>116</v>
      </c>
      <c r="P334" s="9" t="s">
        <v>117</v>
      </c>
      <c r="Q334" s="9" t="s">
        <v>118</v>
      </c>
      <c r="R334" s="9" t="s">
        <v>119</v>
      </c>
      <c r="S334" s="9" t="s">
        <v>120</v>
      </c>
      <c r="T334" s="11" t="s">
        <v>121</v>
      </c>
      <c r="U334" s="12" t="s">
        <v>297</v>
      </c>
      <c r="V334" s="12" t="s">
        <v>297</v>
      </c>
      <c r="W334" s="9">
        <v>10</v>
      </c>
      <c r="X334" s="9" t="s">
        <v>39</v>
      </c>
      <c r="Y334" s="9" t="s">
        <v>40</v>
      </c>
      <c r="Z334" s="9" t="s">
        <v>41</v>
      </c>
      <c r="AA334" s="9" t="s">
        <v>42</v>
      </c>
      <c r="AB334" s="9"/>
      <c r="AC334" s="9"/>
    </row>
    <row r="335" spans="1:29" ht="22.5" customHeight="1">
      <c r="A335" s="9" t="s">
        <v>73</v>
      </c>
      <c r="B335" s="9" t="s">
        <v>693</v>
      </c>
      <c r="C335" s="9" t="s">
        <v>113</v>
      </c>
      <c r="D335" s="9" t="s">
        <v>31</v>
      </c>
      <c r="E335" s="9"/>
      <c r="F335" s="9"/>
      <c r="G335" s="9">
        <v>1</v>
      </c>
      <c r="H335" s="10"/>
      <c r="I335" s="9"/>
      <c r="J335" s="9" t="s">
        <v>681</v>
      </c>
      <c r="K335" s="9"/>
      <c r="L335" s="9"/>
      <c r="M335" s="10" t="s">
        <v>694</v>
      </c>
      <c r="N335" s="10" t="s">
        <v>695</v>
      </c>
      <c r="O335" s="9" t="s">
        <v>116</v>
      </c>
      <c r="P335" s="9" t="s">
        <v>117</v>
      </c>
      <c r="Q335" s="9" t="s">
        <v>118</v>
      </c>
      <c r="R335" s="9" t="s">
        <v>119</v>
      </c>
      <c r="S335" s="9" t="s">
        <v>120</v>
      </c>
      <c r="T335" s="11" t="s">
        <v>121</v>
      </c>
      <c r="U335" s="12" t="s">
        <v>297</v>
      </c>
      <c r="V335" s="12" t="s">
        <v>297</v>
      </c>
      <c r="W335" s="9">
        <v>10</v>
      </c>
      <c r="X335" s="9" t="s">
        <v>39</v>
      </c>
      <c r="Y335" s="9" t="s">
        <v>40</v>
      </c>
      <c r="Z335" s="9" t="s">
        <v>41</v>
      </c>
      <c r="AA335" s="9" t="s">
        <v>42</v>
      </c>
      <c r="AB335" s="9"/>
      <c r="AC335" s="9"/>
    </row>
    <row r="336" spans="1:29" ht="22.5" customHeight="1">
      <c r="A336" s="9" t="s">
        <v>73</v>
      </c>
      <c r="B336" s="9" t="s">
        <v>696</v>
      </c>
      <c r="C336" s="9" t="s">
        <v>113</v>
      </c>
      <c r="D336" s="9" t="s">
        <v>76</v>
      </c>
      <c r="E336" s="9"/>
      <c r="F336" s="9"/>
      <c r="G336" s="9">
        <v>1</v>
      </c>
      <c r="H336" s="10"/>
      <c r="I336" s="9"/>
      <c r="J336" s="9" t="s">
        <v>681</v>
      </c>
      <c r="K336" s="9"/>
      <c r="L336" s="9"/>
      <c r="M336" s="10" t="s">
        <v>697</v>
      </c>
      <c r="N336" s="10" t="s">
        <v>698</v>
      </c>
      <c r="O336" s="9" t="s">
        <v>116</v>
      </c>
      <c r="P336" s="9" t="s">
        <v>117</v>
      </c>
      <c r="Q336" s="9" t="s">
        <v>118</v>
      </c>
      <c r="R336" s="9" t="s">
        <v>119</v>
      </c>
      <c r="S336" s="9" t="s">
        <v>120</v>
      </c>
      <c r="T336" s="11" t="s">
        <v>121</v>
      </c>
      <c r="U336" s="12" t="s">
        <v>303</v>
      </c>
      <c r="V336" s="12" t="s">
        <v>150</v>
      </c>
      <c r="W336" s="9">
        <v>0</v>
      </c>
      <c r="X336" s="9" t="s">
        <v>119</v>
      </c>
      <c r="Y336" s="9" t="s">
        <v>120</v>
      </c>
      <c r="Z336" s="9" t="s">
        <v>121</v>
      </c>
      <c r="AA336" s="9" t="s">
        <v>271</v>
      </c>
      <c r="AB336" s="12" t="s">
        <v>136</v>
      </c>
      <c r="AC336" s="9">
        <v>90</v>
      </c>
    </row>
    <row r="337" spans="1:29" ht="22.5" customHeight="1">
      <c r="A337" s="9" t="s">
        <v>73</v>
      </c>
      <c r="B337" s="9" t="s">
        <v>699</v>
      </c>
      <c r="C337" s="9" t="s">
        <v>113</v>
      </c>
      <c r="D337" s="9" t="s">
        <v>76</v>
      </c>
      <c r="E337" s="9"/>
      <c r="F337" s="9"/>
      <c r="G337" s="9">
        <v>1</v>
      </c>
      <c r="H337" s="10"/>
      <c r="I337" s="9"/>
      <c r="J337" s="9" t="s">
        <v>681</v>
      </c>
      <c r="K337" s="9"/>
      <c r="L337" s="9"/>
      <c r="M337" s="10" t="s">
        <v>700</v>
      </c>
      <c r="N337" s="10" t="s">
        <v>701</v>
      </c>
      <c r="O337" s="9" t="s">
        <v>116</v>
      </c>
      <c r="P337" s="9" t="s">
        <v>117</v>
      </c>
      <c r="Q337" s="9" t="s">
        <v>118</v>
      </c>
      <c r="R337" s="9" t="s">
        <v>119</v>
      </c>
      <c r="S337" s="9" t="s">
        <v>120</v>
      </c>
      <c r="T337" s="11" t="s">
        <v>121</v>
      </c>
      <c r="U337" s="12" t="s">
        <v>303</v>
      </c>
      <c r="V337" s="12" t="s">
        <v>150</v>
      </c>
      <c r="W337" s="9">
        <v>0</v>
      </c>
      <c r="X337" s="9" t="s">
        <v>119</v>
      </c>
      <c r="Y337" s="9" t="s">
        <v>120</v>
      </c>
      <c r="Z337" s="9" t="s">
        <v>121</v>
      </c>
      <c r="AA337" s="9" t="s">
        <v>271</v>
      </c>
      <c r="AB337" s="12" t="s">
        <v>136</v>
      </c>
      <c r="AC337" s="9">
        <v>89</v>
      </c>
    </row>
    <row r="338" spans="1:29" ht="22.5" customHeight="1">
      <c r="A338" s="9" t="s">
        <v>73</v>
      </c>
      <c r="B338" s="9" t="s">
        <v>702</v>
      </c>
      <c r="C338" s="9" t="s">
        <v>113</v>
      </c>
      <c r="D338" s="9" t="s">
        <v>76</v>
      </c>
      <c r="E338" s="9"/>
      <c r="F338" s="9"/>
      <c r="G338" s="9">
        <v>1</v>
      </c>
      <c r="H338" s="10"/>
      <c r="I338" s="9"/>
      <c r="J338" s="9" t="s">
        <v>681</v>
      </c>
      <c r="K338" s="9"/>
      <c r="L338" s="9"/>
      <c r="M338" s="10" t="s">
        <v>703</v>
      </c>
      <c r="N338" s="10" t="s">
        <v>330</v>
      </c>
      <c r="O338" s="9" t="s">
        <v>116</v>
      </c>
      <c r="P338" s="9" t="s">
        <v>117</v>
      </c>
      <c r="Q338" s="9" t="s">
        <v>118</v>
      </c>
      <c r="R338" s="9" t="s">
        <v>119</v>
      </c>
      <c r="S338" s="9" t="s">
        <v>120</v>
      </c>
      <c r="T338" s="11" t="s">
        <v>121</v>
      </c>
      <c r="U338" s="12" t="s">
        <v>303</v>
      </c>
      <c r="V338" s="12" t="s">
        <v>150</v>
      </c>
      <c r="W338" s="9">
        <v>0</v>
      </c>
      <c r="X338" s="9" t="s">
        <v>119</v>
      </c>
      <c r="Y338" s="9" t="s">
        <v>120</v>
      </c>
      <c r="Z338" s="9" t="s">
        <v>121</v>
      </c>
      <c r="AA338" s="9" t="s">
        <v>271</v>
      </c>
      <c r="AB338" s="12" t="s">
        <v>136</v>
      </c>
      <c r="AC338" s="9">
        <v>91</v>
      </c>
    </row>
    <row r="339" spans="1:29" ht="22.5" customHeight="1">
      <c r="A339" s="9" t="s">
        <v>73</v>
      </c>
      <c r="B339" s="9" t="s">
        <v>704</v>
      </c>
      <c r="C339" s="9" t="s">
        <v>113</v>
      </c>
      <c r="D339" s="9" t="s">
        <v>76</v>
      </c>
      <c r="E339" s="9"/>
      <c r="F339" s="9"/>
      <c r="G339" s="9">
        <v>1</v>
      </c>
      <c r="H339" s="10"/>
      <c r="I339" s="9"/>
      <c r="J339" s="9" t="s">
        <v>681</v>
      </c>
      <c r="K339" s="9"/>
      <c r="L339" s="9"/>
      <c r="M339" s="10" t="s">
        <v>319</v>
      </c>
      <c r="N339" s="10" t="s">
        <v>320</v>
      </c>
      <c r="O339" s="9" t="s">
        <v>116</v>
      </c>
      <c r="P339" s="9" t="s">
        <v>117</v>
      </c>
      <c r="Q339" s="9" t="s">
        <v>118</v>
      </c>
      <c r="R339" s="9" t="s">
        <v>119</v>
      </c>
      <c r="S339" s="9" t="s">
        <v>120</v>
      </c>
      <c r="T339" s="11" t="s">
        <v>121</v>
      </c>
      <c r="U339" s="12" t="s">
        <v>156</v>
      </c>
      <c r="V339" s="12" t="s">
        <v>218</v>
      </c>
      <c r="W339" s="9">
        <v>0</v>
      </c>
      <c r="X339" s="9" t="s">
        <v>39</v>
      </c>
      <c r="Y339" s="9" t="s">
        <v>40</v>
      </c>
      <c r="Z339" s="9" t="s">
        <v>41</v>
      </c>
      <c r="AA339" s="9" t="s">
        <v>42</v>
      </c>
      <c r="AB339" s="12" t="s">
        <v>136</v>
      </c>
      <c r="AC339" s="9">
        <v>92</v>
      </c>
    </row>
    <row r="340" spans="1:29" ht="22.5" customHeight="1">
      <c r="A340" s="9" t="s">
        <v>73</v>
      </c>
      <c r="B340" s="9" t="s">
        <v>705</v>
      </c>
      <c r="C340" s="9" t="s">
        <v>113</v>
      </c>
      <c r="D340" s="9" t="s">
        <v>76</v>
      </c>
      <c r="E340" s="9"/>
      <c r="F340" s="9"/>
      <c r="G340" s="9">
        <v>1</v>
      </c>
      <c r="H340" s="10"/>
      <c r="I340" s="9"/>
      <c r="J340" s="9" t="s">
        <v>681</v>
      </c>
      <c r="K340" s="9"/>
      <c r="L340" s="9"/>
      <c r="M340" s="10" t="s">
        <v>333</v>
      </c>
      <c r="N340" s="10" t="s">
        <v>334</v>
      </c>
      <c r="O340" s="9" t="s">
        <v>116</v>
      </c>
      <c r="P340" s="9" t="s">
        <v>117</v>
      </c>
      <c r="Q340" s="9" t="s">
        <v>118</v>
      </c>
      <c r="R340" s="9" t="s">
        <v>119</v>
      </c>
      <c r="S340" s="9" t="s">
        <v>120</v>
      </c>
      <c r="T340" s="11" t="s">
        <v>121</v>
      </c>
      <c r="U340" s="12" t="s">
        <v>303</v>
      </c>
      <c r="V340" s="12" t="s">
        <v>150</v>
      </c>
      <c r="W340" s="9">
        <v>0</v>
      </c>
      <c r="X340" s="9" t="s">
        <v>119</v>
      </c>
      <c r="Y340" s="9" t="s">
        <v>120</v>
      </c>
      <c r="Z340" s="9" t="s">
        <v>121</v>
      </c>
      <c r="AA340" s="9" t="s">
        <v>271</v>
      </c>
      <c r="AB340" s="12" t="s">
        <v>136</v>
      </c>
      <c r="AC340" s="9">
        <v>93</v>
      </c>
    </row>
    <row r="341" spans="1:29" ht="22.5" customHeight="1">
      <c r="A341" s="9" t="s">
        <v>73</v>
      </c>
      <c r="B341" s="9" t="s">
        <v>706</v>
      </c>
      <c r="C341" s="9" t="s">
        <v>113</v>
      </c>
      <c r="D341" s="9" t="s">
        <v>76</v>
      </c>
      <c r="E341" s="9"/>
      <c r="F341" s="9"/>
      <c r="G341" s="9">
        <v>1</v>
      </c>
      <c r="H341" s="10"/>
      <c r="I341" s="9"/>
      <c r="J341" s="9" t="s">
        <v>681</v>
      </c>
      <c r="K341" s="9"/>
      <c r="L341" s="9"/>
      <c r="M341" s="10" t="s">
        <v>707</v>
      </c>
      <c r="N341" s="10" t="s">
        <v>708</v>
      </c>
      <c r="O341" s="9" t="s">
        <v>116</v>
      </c>
      <c r="P341" s="9" t="s">
        <v>117</v>
      </c>
      <c r="Q341" s="9" t="s">
        <v>118</v>
      </c>
      <c r="R341" s="9" t="s">
        <v>119</v>
      </c>
      <c r="S341" s="9" t="s">
        <v>120</v>
      </c>
      <c r="T341" s="11" t="s">
        <v>121</v>
      </c>
      <c r="U341" s="12" t="s">
        <v>303</v>
      </c>
      <c r="V341" s="12" t="s">
        <v>150</v>
      </c>
      <c r="W341" s="9">
        <v>0</v>
      </c>
      <c r="X341" s="9" t="s">
        <v>119</v>
      </c>
      <c r="Y341" s="9" t="s">
        <v>120</v>
      </c>
      <c r="Z341" s="9" t="s">
        <v>121</v>
      </c>
      <c r="AA341" s="9" t="s">
        <v>271</v>
      </c>
      <c r="AB341" s="12" t="s">
        <v>136</v>
      </c>
      <c r="AC341" s="9">
        <v>94</v>
      </c>
    </row>
    <row r="342" spans="1:29" ht="22.5" customHeight="1">
      <c r="A342" s="9" t="s">
        <v>29</v>
      </c>
      <c r="B342" s="9" t="s">
        <v>709</v>
      </c>
      <c r="C342" s="9"/>
      <c r="D342" s="9" t="s">
        <v>31</v>
      </c>
      <c r="E342" s="9" t="s">
        <v>44</v>
      </c>
      <c r="F342" s="9" t="s">
        <v>33</v>
      </c>
      <c r="G342" s="9" t="s">
        <v>34</v>
      </c>
      <c r="H342" s="10" t="s">
        <v>710</v>
      </c>
      <c r="I342" s="9"/>
      <c r="J342" s="9" t="s">
        <v>35</v>
      </c>
      <c r="K342" s="9"/>
      <c r="L342" s="9"/>
      <c r="M342" s="10" t="s">
        <v>711</v>
      </c>
      <c r="N342" s="10" t="str">
        <f>IFERROR(VLOOKUP(M342,[1]DESC!A:B,2,FALSE),"")</f>
        <v/>
      </c>
      <c r="O342" s="9"/>
      <c r="P342" s="9"/>
      <c r="Q342" s="9"/>
      <c r="R342" s="9"/>
      <c r="S342" s="9"/>
      <c r="T342" s="11"/>
      <c r="U342" s="12" t="s">
        <v>57</v>
      </c>
      <c r="V342" s="12" t="s">
        <v>38</v>
      </c>
      <c r="W342" s="9">
        <v>10</v>
      </c>
      <c r="X342" s="9" t="s">
        <v>39</v>
      </c>
      <c r="Y342" s="9" t="s">
        <v>40</v>
      </c>
      <c r="Z342" s="9" t="s">
        <v>41</v>
      </c>
      <c r="AA342" s="9" t="s">
        <v>42</v>
      </c>
      <c r="AB342" s="9"/>
      <c r="AC342" s="9"/>
    </row>
    <row r="343" spans="1:29" ht="22.5" customHeight="1">
      <c r="A343" s="9" t="s">
        <v>29</v>
      </c>
      <c r="B343" s="9" t="s">
        <v>709</v>
      </c>
      <c r="C343" s="9"/>
      <c r="D343" s="9" t="s">
        <v>31</v>
      </c>
      <c r="E343" s="9" t="s">
        <v>44</v>
      </c>
      <c r="F343" s="9" t="s">
        <v>33</v>
      </c>
      <c r="G343" s="9" t="s">
        <v>34</v>
      </c>
      <c r="H343" s="10" t="s">
        <v>712</v>
      </c>
      <c r="I343" s="9"/>
      <c r="J343" s="9" t="s">
        <v>35</v>
      </c>
      <c r="K343" s="9"/>
      <c r="L343" s="9"/>
      <c r="M343" s="10" t="s">
        <v>711</v>
      </c>
      <c r="N343" s="10" t="str">
        <f>IFERROR(VLOOKUP(M343,[1]DESC!A:B,2,FALSE),"")</f>
        <v/>
      </c>
      <c r="O343" s="9"/>
      <c r="P343" s="9"/>
      <c r="Q343" s="9"/>
      <c r="R343" s="9"/>
      <c r="S343" s="9"/>
      <c r="T343" s="11"/>
      <c r="U343" s="12" t="s">
        <v>57</v>
      </c>
      <c r="V343" s="12" t="s">
        <v>38</v>
      </c>
      <c r="W343" s="9">
        <v>10</v>
      </c>
      <c r="X343" s="9" t="s">
        <v>39</v>
      </c>
      <c r="Y343" s="9" t="s">
        <v>40</v>
      </c>
      <c r="Z343" s="9" t="s">
        <v>41</v>
      </c>
      <c r="AA343" s="9" t="s">
        <v>42</v>
      </c>
      <c r="AB343" s="9"/>
      <c r="AC343" s="9"/>
    </row>
    <row r="344" spans="1:29" ht="22.5" customHeight="1">
      <c r="A344" s="9" t="s">
        <v>29</v>
      </c>
      <c r="B344" s="9" t="s">
        <v>713</v>
      </c>
      <c r="C344" s="9"/>
      <c r="D344" s="9" t="s">
        <v>31</v>
      </c>
      <c r="E344" s="9" t="s">
        <v>44</v>
      </c>
      <c r="F344" s="9" t="s">
        <v>33</v>
      </c>
      <c r="G344" s="9" t="s">
        <v>34</v>
      </c>
      <c r="H344" s="10"/>
      <c r="I344" s="9"/>
      <c r="J344" s="9" t="s">
        <v>49</v>
      </c>
      <c r="K344" s="9"/>
      <c r="L344" s="9"/>
      <c r="M344" s="10" t="s">
        <v>714</v>
      </c>
      <c r="N344" s="10" t="str">
        <f>IFERROR(VLOOKUP(M344,[1]DESC!A:B,2,FALSE),"")</f>
        <v/>
      </c>
      <c r="O344" s="9"/>
      <c r="P344" s="9"/>
      <c r="Q344" s="9"/>
      <c r="R344" s="9"/>
      <c r="S344" s="9"/>
      <c r="T344" s="11"/>
      <c r="U344" s="12" t="s">
        <v>37</v>
      </c>
      <c r="V344" s="12" t="s">
        <v>52</v>
      </c>
      <c r="W344" s="9">
        <v>10</v>
      </c>
      <c r="X344" s="9" t="s">
        <v>39</v>
      </c>
      <c r="Y344" s="9" t="s">
        <v>40</v>
      </c>
      <c r="Z344" s="9" t="s">
        <v>41</v>
      </c>
      <c r="AA344" s="9" t="s">
        <v>42</v>
      </c>
      <c r="AB344" s="9"/>
      <c r="AC344" s="9"/>
    </row>
    <row r="345" spans="1:29" ht="22.5" customHeight="1">
      <c r="A345" s="9" t="s">
        <v>29</v>
      </c>
      <c r="B345" s="9" t="s">
        <v>715</v>
      </c>
      <c r="C345" s="9"/>
      <c r="D345" s="9" t="s">
        <v>31</v>
      </c>
      <c r="E345" s="9" t="s">
        <v>44</v>
      </c>
      <c r="F345" s="9" t="s">
        <v>33</v>
      </c>
      <c r="G345" s="9" t="s">
        <v>34</v>
      </c>
      <c r="H345" s="10"/>
      <c r="I345" s="9"/>
      <c r="J345" s="9" t="s">
        <v>49</v>
      </c>
      <c r="K345" s="9"/>
      <c r="L345" s="9"/>
      <c r="M345" s="10" t="s">
        <v>716</v>
      </c>
      <c r="N345" s="10" t="str">
        <f>IFERROR(VLOOKUP(M345,[1]DESC!A:B,2,FALSE),"")</f>
        <v/>
      </c>
      <c r="O345" s="9"/>
      <c r="P345" s="9"/>
      <c r="Q345" s="9"/>
      <c r="R345" s="9"/>
      <c r="S345" s="9"/>
      <c r="T345" s="11"/>
      <c r="U345" s="12" t="s">
        <v>37</v>
      </c>
      <c r="V345" s="12" t="s">
        <v>52</v>
      </c>
      <c r="W345" s="9">
        <v>10</v>
      </c>
      <c r="X345" s="9" t="s">
        <v>39</v>
      </c>
      <c r="Y345" s="9" t="s">
        <v>40</v>
      </c>
      <c r="Z345" s="9" t="s">
        <v>41</v>
      </c>
      <c r="AA345" s="9" t="s">
        <v>42</v>
      </c>
      <c r="AB345" s="9"/>
      <c r="AC345" s="9"/>
    </row>
    <row r="346" spans="1:29" ht="22.5" customHeight="1">
      <c r="A346" s="9" t="s">
        <v>29</v>
      </c>
      <c r="B346" s="9" t="s">
        <v>717</v>
      </c>
      <c r="C346" s="9"/>
      <c r="D346" s="9" t="s">
        <v>31</v>
      </c>
      <c r="E346" s="9" t="s">
        <v>44</v>
      </c>
      <c r="F346" s="9" t="s">
        <v>33</v>
      </c>
      <c r="G346" s="9" t="s">
        <v>34</v>
      </c>
      <c r="H346" s="10"/>
      <c r="I346" s="9"/>
      <c r="J346" s="9" t="s">
        <v>49</v>
      </c>
      <c r="K346" s="9"/>
      <c r="L346" s="9"/>
      <c r="M346" s="10" t="s">
        <v>718</v>
      </c>
      <c r="N346" s="10" t="str">
        <f>IFERROR(VLOOKUP(M346,[1]DESC!A:B,2,FALSE),"")</f>
        <v/>
      </c>
      <c r="O346" s="9"/>
      <c r="P346" s="9"/>
      <c r="Q346" s="9"/>
      <c r="R346" s="9"/>
      <c r="S346" s="9"/>
      <c r="T346" s="11"/>
      <c r="U346" s="12" t="s">
        <v>37</v>
      </c>
      <c r="V346" s="12" t="s">
        <v>52</v>
      </c>
      <c r="W346" s="9">
        <v>10</v>
      </c>
      <c r="X346" s="9" t="s">
        <v>39</v>
      </c>
      <c r="Y346" s="9" t="s">
        <v>40</v>
      </c>
      <c r="Z346" s="9" t="s">
        <v>41</v>
      </c>
      <c r="AA346" s="9" t="s">
        <v>42</v>
      </c>
      <c r="AB346" s="9"/>
      <c r="AC346" s="9"/>
    </row>
    <row r="347" spans="1:29" ht="22.5" customHeight="1">
      <c r="A347" s="9" t="s">
        <v>29</v>
      </c>
      <c r="B347" s="9" t="s">
        <v>719</v>
      </c>
      <c r="C347" s="9"/>
      <c r="D347" s="9" t="s">
        <v>31</v>
      </c>
      <c r="E347" s="9" t="s">
        <v>44</v>
      </c>
      <c r="F347" s="9" t="s">
        <v>33</v>
      </c>
      <c r="G347" s="9" t="s">
        <v>34</v>
      </c>
      <c r="H347" s="10"/>
      <c r="I347" s="9"/>
      <c r="J347" s="9" t="s">
        <v>35</v>
      </c>
      <c r="K347" s="9"/>
      <c r="L347" s="9"/>
      <c r="M347" s="10" t="s">
        <v>720</v>
      </c>
      <c r="N347" s="10" t="str">
        <f>IFERROR(VLOOKUP(M347,[1]DESC!A:B,2,FALSE),"")</f>
        <v/>
      </c>
      <c r="O347" s="9"/>
      <c r="P347" s="9"/>
      <c r="Q347" s="9"/>
      <c r="R347" s="9"/>
      <c r="S347" s="9"/>
      <c r="T347" s="11"/>
      <c r="U347" s="12" t="s">
        <v>46</v>
      </c>
      <c r="V347" s="12" t="s">
        <v>47</v>
      </c>
      <c r="W347" s="9">
        <v>10</v>
      </c>
      <c r="X347" s="9" t="s">
        <v>39</v>
      </c>
      <c r="Y347" s="9" t="s">
        <v>40</v>
      </c>
      <c r="Z347" s="9" t="s">
        <v>41</v>
      </c>
      <c r="AA347" s="9" t="s">
        <v>42</v>
      </c>
      <c r="AB347" s="9"/>
      <c r="AC347" s="9"/>
    </row>
    <row r="348" spans="1:29" ht="22.5" customHeight="1">
      <c r="A348" s="9" t="s">
        <v>29</v>
      </c>
      <c r="B348" s="9" t="s">
        <v>721</v>
      </c>
      <c r="C348" s="9"/>
      <c r="D348" s="9" t="s">
        <v>31</v>
      </c>
      <c r="E348" s="9" t="s">
        <v>44</v>
      </c>
      <c r="F348" s="9" t="s">
        <v>33</v>
      </c>
      <c r="G348" s="9" t="s">
        <v>34</v>
      </c>
      <c r="H348" s="10"/>
      <c r="I348" s="9"/>
      <c r="J348" s="9" t="s">
        <v>35</v>
      </c>
      <c r="K348" s="9"/>
      <c r="L348" s="9"/>
      <c r="M348" s="10" t="s">
        <v>722</v>
      </c>
      <c r="N348" s="10" t="str">
        <f>IFERROR(VLOOKUP(M348,[1]DESC!A:B,2,FALSE),"")</f>
        <v/>
      </c>
      <c r="O348" s="9"/>
      <c r="P348" s="9"/>
      <c r="Q348" s="9"/>
      <c r="R348" s="9"/>
      <c r="S348" s="9"/>
      <c r="T348" s="11"/>
      <c r="U348" s="12" t="s">
        <v>46</v>
      </c>
      <c r="V348" s="12" t="s">
        <v>47</v>
      </c>
      <c r="W348" s="9">
        <v>10</v>
      </c>
      <c r="X348" s="9" t="s">
        <v>39</v>
      </c>
      <c r="Y348" s="9" t="s">
        <v>40</v>
      </c>
      <c r="Z348" s="9" t="s">
        <v>41</v>
      </c>
      <c r="AA348" s="9" t="s">
        <v>42</v>
      </c>
      <c r="AB348" s="9"/>
      <c r="AC348" s="9"/>
    </row>
    <row r="349" spans="1:29" ht="22.5" customHeight="1">
      <c r="A349" s="9" t="s">
        <v>29</v>
      </c>
      <c r="B349" s="9" t="s">
        <v>723</v>
      </c>
      <c r="C349" s="9"/>
      <c r="D349" s="9" t="s">
        <v>31</v>
      </c>
      <c r="E349" s="9" t="s">
        <v>44</v>
      </c>
      <c r="F349" s="9" t="s">
        <v>33</v>
      </c>
      <c r="G349" s="9" t="s">
        <v>34</v>
      </c>
      <c r="H349" s="10" t="s">
        <v>724</v>
      </c>
      <c r="I349" s="9"/>
      <c r="J349" s="9" t="s">
        <v>49</v>
      </c>
      <c r="K349" s="9"/>
      <c r="L349" s="9"/>
      <c r="M349" s="10" t="s">
        <v>725</v>
      </c>
      <c r="N349" s="10" t="str">
        <f>IFERROR(VLOOKUP(M349,[1]DESC!A:B,2,FALSE),"")</f>
        <v/>
      </c>
      <c r="O349" s="9"/>
      <c r="P349" s="9"/>
      <c r="Q349" s="9"/>
      <c r="R349" s="9"/>
      <c r="S349" s="9"/>
      <c r="T349" s="11"/>
      <c r="U349" s="12" t="s">
        <v>57</v>
      </c>
      <c r="V349" s="12" t="s">
        <v>47</v>
      </c>
      <c r="W349" s="9">
        <v>10</v>
      </c>
      <c r="X349" s="9" t="s">
        <v>39</v>
      </c>
      <c r="Y349" s="9" t="s">
        <v>40</v>
      </c>
      <c r="Z349" s="9" t="s">
        <v>41</v>
      </c>
      <c r="AA349" s="9" t="s">
        <v>42</v>
      </c>
      <c r="AB349" s="9"/>
      <c r="AC349" s="9"/>
    </row>
    <row r="350" spans="1:29" ht="22.5" customHeight="1">
      <c r="A350" s="9" t="s">
        <v>29</v>
      </c>
      <c r="B350" s="9" t="s">
        <v>723</v>
      </c>
      <c r="C350" s="9"/>
      <c r="D350" s="9" t="s">
        <v>31</v>
      </c>
      <c r="E350" s="9" t="s">
        <v>44</v>
      </c>
      <c r="F350" s="9" t="s">
        <v>33</v>
      </c>
      <c r="G350" s="9" t="s">
        <v>34</v>
      </c>
      <c r="H350" s="10" t="s">
        <v>726</v>
      </c>
      <c r="I350" s="9"/>
      <c r="J350" s="9" t="s">
        <v>49</v>
      </c>
      <c r="K350" s="9"/>
      <c r="L350" s="9"/>
      <c r="M350" s="10" t="s">
        <v>725</v>
      </c>
      <c r="N350" s="10" t="str">
        <f>IFERROR(VLOOKUP(M350,[1]DESC!A:B,2,FALSE),"")</f>
        <v/>
      </c>
      <c r="O350" s="9"/>
      <c r="P350" s="9"/>
      <c r="Q350" s="9"/>
      <c r="R350" s="9"/>
      <c r="S350" s="9"/>
      <c r="T350" s="11"/>
      <c r="U350" s="12" t="s">
        <v>57</v>
      </c>
      <c r="V350" s="12" t="s">
        <v>47</v>
      </c>
      <c r="W350" s="9">
        <v>10</v>
      </c>
      <c r="X350" s="9" t="s">
        <v>39</v>
      </c>
      <c r="Y350" s="9" t="s">
        <v>40</v>
      </c>
      <c r="Z350" s="9" t="s">
        <v>41</v>
      </c>
      <c r="AA350" s="9" t="s">
        <v>42</v>
      </c>
      <c r="AB350" s="9"/>
      <c r="AC350" s="9"/>
    </row>
    <row r="351" spans="1:29" ht="22.5" customHeight="1">
      <c r="A351" s="9" t="s">
        <v>29</v>
      </c>
      <c r="B351" s="9" t="s">
        <v>727</v>
      </c>
      <c r="C351" s="9"/>
      <c r="D351" s="9" t="s">
        <v>31</v>
      </c>
      <c r="E351" s="9" t="s">
        <v>44</v>
      </c>
      <c r="F351" s="9" t="s">
        <v>33</v>
      </c>
      <c r="G351" s="9" t="s">
        <v>34</v>
      </c>
      <c r="H351" s="10"/>
      <c r="I351" s="9"/>
      <c r="J351" s="9" t="s">
        <v>49</v>
      </c>
      <c r="K351" s="9"/>
      <c r="L351" s="9"/>
      <c r="M351" s="10" t="s">
        <v>728</v>
      </c>
      <c r="N351" s="10" t="str">
        <f>IFERROR(VLOOKUP(M351,[1]DESC!A:B,2,FALSE),"")</f>
        <v/>
      </c>
      <c r="O351" s="9"/>
      <c r="P351" s="9"/>
      <c r="Q351" s="9"/>
      <c r="R351" s="9"/>
      <c r="S351" s="9"/>
      <c r="T351" s="11"/>
      <c r="U351" s="12" t="s">
        <v>37</v>
      </c>
      <c r="V351" s="12" t="s">
        <v>47</v>
      </c>
      <c r="W351" s="9">
        <v>10</v>
      </c>
      <c r="X351" s="9" t="s">
        <v>39</v>
      </c>
      <c r="Y351" s="9" t="s">
        <v>40</v>
      </c>
      <c r="Z351" s="9" t="s">
        <v>41</v>
      </c>
      <c r="AA351" s="9" t="s">
        <v>42</v>
      </c>
      <c r="AB351" s="9"/>
      <c r="AC351" s="9"/>
    </row>
    <row r="352" spans="1:29" ht="22.5" customHeight="1">
      <c r="A352" s="9" t="s">
        <v>141</v>
      </c>
      <c r="B352" s="9" t="s">
        <v>434</v>
      </c>
      <c r="C352" s="9" t="s">
        <v>113</v>
      </c>
      <c r="D352" s="9" t="s">
        <v>76</v>
      </c>
      <c r="E352" s="9" t="s">
        <v>44</v>
      </c>
      <c r="F352" s="9" t="s">
        <v>33</v>
      </c>
      <c r="G352" s="9">
        <v>2</v>
      </c>
      <c r="H352" s="10" t="s">
        <v>433</v>
      </c>
      <c r="I352" s="9"/>
      <c r="J352" s="9" t="s">
        <v>35</v>
      </c>
      <c r="K352" s="9"/>
      <c r="L352" s="9"/>
      <c r="M352" s="10" t="s">
        <v>729</v>
      </c>
      <c r="N352" s="10" t="str">
        <f>IFERROR(VLOOKUP(M352,[1]DESC!A:B,2,FALSE),"")</f>
        <v/>
      </c>
      <c r="O352" s="9" t="s">
        <v>116</v>
      </c>
      <c r="P352" s="9" t="s">
        <v>117</v>
      </c>
      <c r="Q352" s="9" t="s">
        <v>118</v>
      </c>
      <c r="R352" s="9" t="s">
        <v>214</v>
      </c>
      <c r="S352" s="9" t="s">
        <v>215</v>
      </c>
      <c r="T352" s="11" t="s">
        <v>216</v>
      </c>
      <c r="U352" s="12" t="s">
        <v>57</v>
      </c>
      <c r="V352" s="12" t="s">
        <v>218</v>
      </c>
      <c r="W352" s="9">
        <v>0</v>
      </c>
      <c r="X352" s="9" t="s">
        <v>214</v>
      </c>
      <c r="Y352" s="9" t="s">
        <v>215</v>
      </c>
      <c r="Z352" s="9" t="s">
        <v>216</v>
      </c>
      <c r="AA352" s="9" t="s">
        <v>219</v>
      </c>
      <c r="AB352" s="12" t="s">
        <v>182</v>
      </c>
      <c r="AC352" s="9">
        <v>96</v>
      </c>
    </row>
    <row r="353" spans="1:29" ht="22.5" customHeight="1">
      <c r="A353" s="9" t="s">
        <v>141</v>
      </c>
      <c r="B353" s="9" t="s">
        <v>434</v>
      </c>
      <c r="C353" s="9" t="s">
        <v>113</v>
      </c>
      <c r="D353" s="9" t="s">
        <v>76</v>
      </c>
      <c r="E353" s="9" t="s">
        <v>44</v>
      </c>
      <c r="F353" s="9" t="s">
        <v>33</v>
      </c>
      <c r="G353" s="9">
        <v>2</v>
      </c>
      <c r="H353" s="10" t="s">
        <v>159</v>
      </c>
      <c r="I353" s="9"/>
      <c r="J353" s="9" t="s">
        <v>35</v>
      </c>
      <c r="K353" s="9"/>
      <c r="L353" s="9"/>
      <c r="M353" s="10" t="s">
        <v>729</v>
      </c>
      <c r="N353" s="10" t="str">
        <f>IFERROR(VLOOKUP(M353,[1]DESC!A:B,2,FALSE),"")</f>
        <v/>
      </c>
      <c r="O353" s="9" t="s">
        <v>116</v>
      </c>
      <c r="P353" s="9" t="s">
        <v>117</v>
      </c>
      <c r="Q353" s="9" t="s">
        <v>118</v>
      </c>
      <c r="R353" s="9" t="s">
        <v>214</v>
      </c>
      <c r="S353" s="9" t="s">
        <v>215</v>
      </c>
      <c r="T353" s="11" t="s">
        <v>216</v>
      </c>
      <c r="U353" s="12" t="s">
        <v>57</v>
      </c>
      <c r="V353" s="12" t="s">
        <v>218</v>
      </c>
      <c r="W353" s="9">
        <v>0</v>
      </c>
      <c r="X353" s="9" t="s">
        <v>214</v>
      </c>
      <c r="Y353" s="9" t="s">
        <v>215</v>
      </c>
      <c r="Z353" s="9" t="s">
        <v>216</v>
      </c>
      <c r="AA353" s="9" t="s">
        <v>219</v>
      </c>
      <c r="AB353" s="12" t="s">
        <v>182</v>
      </c>
      <c r="AC353" s="9">
        <v>96</v>
      </c>
    </row>
    <row r="354" spans="1:29" ht="22.5" customHeight="1">
      <c r="A354" s="9" t="s">
        <v>29</v>
      </c>
      <c r="B354" s="9" t="s">
        <v>730</v>
      </c>
      <c r="C354" s="9"/>
      <c r="D354" s="9" t="s">
        <v>31</v>
      </c>
      <c r="E354" s="9" t="s">
        <v>44</v>
      </c>
      <c r="F354" s="9" t="s">
        <v>33</v>
      </c>
      <c r="G354" s="9" t="s">
        <v>34</v>
      </c>
      <c r="H354" s="10"/>
      <c r="I354" s="9"/>
      <c r="J354" s="9" t="s">
        <v>49</v>
      </c>
      <c r="K354" s="9"/>
      <c r="L354" s="9"/>
      <c r="M354" s="10" t="s">
        <v>731</v>
      </c>
      <c r="N354" s="10" t="str">
        <f>IFERROR(VLOOKUP(M354,[1]DESC!A:B,2,FALSE),"")</f>
        <v/>
      </c>
      <c r="O354" s="9"/>
      <c r="P354" s="9"/>
      <c r="Q354" s="9"/>
      <c r="R354" s="9"/>
      <c r="S354" s="9"/>
      <c r="T354" s="11"/>
      <c r="U354" s="12" t="s">
        <v>37</v>
      </c>
      <c r="V354" s="12" t="s">
        <v>52</v>
      </c>
      <c r="W354" s="9">
        <v>10</v>
      </c>
      <c r="X354" s="9" t="s">
        <v>39</v>
      </c>
      <c r="Y354" s="9" t="s">
        <v>40</v>
      </c>
      <c r="Z354" s="9" t="s">
        <v>41</v>
      </c>
      <c r="AA354" s="9" t="s">
        <v>42</v>
      </c>
      <c r="AB354" s="9"/>
      <c r="AC354" s="9"/>
    </row>
    <row r="355" spans="1:29" ht="22.5" customHeight="1">
      <c r="A355" s="9" t="s">
        <v>29</v>
      </c>
      <c r="B355" s="9" t="s">
        <v>203</v>
      </c>
      <c r="C355" s="9"/>
      <c r="D355" s="9" t="s">
        <v>31</v>
      </c>
      <c r="E355" s="9" t="s">
        <v>44</v>
      </c>
      <c r="F355" s="9" t="s">
        <v>33</v>
      </c>
      <c r="G355" s="9" t="s">
        <v>34</v>
      </c>
      <c r="H355" s="10" t="s">
        <v>189</v>
      </c>
      <c r="I355" s="9"/>
      <c r="J355" s="9" t="s">
        <v>49</v>
      </c>
      <c r="K355" s="9"/>
      <c r="L355" s="9"/>
      <c r="M355" s="10" t="s">
        <v>732</v>
      </c>
      <c r="N355" s="10" t="str">
        <f>IFERROR(VLOOKUP(M355,[1]DESC!A:B,2,FALSE),"")</f>
        <v/>
      </c>
      <c r="O355" s="9"/>
      <c r="P355" s="9"/>
      <c r="Q355" s="9"/>
      <c r="R355" s="9"/>
      <c r="S355" s="9"/>
      <c r="T355" s="11"/>
      <c r="U355" s="12" t="s">
        <v>57</v>
      </c>
      <c r="V355" s="12" t="s">
        <v>52</v>
      </c>
      <c r="W355" s="9">
        <v>10</v>
      </c>
      <c r="X355" s="9" t="s">
        <v>39</v>
      </c>
      <c r="Y355" s="9" t="s">
        <v>40</v>
      </c>
      <c r="Z355" s="9" t="s">
        <v>41</v>
      </c>
      <c r="AA355" s="9" t="s">
        <v>42</v>
      </c>
      <c r="AB355" s="9"/>
      <c r="AC355" s="9"/>
    </row>
    <row r="356" spans="1:29" ht="22.5" customHeight="1">
      <c r="A356" s="9" t="s">
        <v>29</v>
      </c>
      <c r="B356" s="9" t="s">
        <v>203</v>
      </c>
      <c r="C356" s="9"/>
      <c r="D356" s="9" t="s">
        <v>31</v>
      </c>
      <c r="E356" s="9" t="s">
        <v>44</v>
      </c>
      <c r="F356" s="9" t="s">
        <v>33</v>
      </c>
      <c r="G356" s="9" t="s">
        <v>34</v>
      </c>
      <c r="H356" s="10" t="s">
        <v>178</v>
      </c>
      <c r="I356" s="9"/>
      <c r="J356" s="9" t="s">
        <v>49</v>
      </c>
      <c r="K356" s="9"/>
      <c r="L356" s="9"/>
      <c r="M356" s="10" t="s">
        <v>732</v>
      </c>
      <c r="N356" s="10" t="str">
        <f>IFERROR(VLOOKUP(M356,[1]DESC!A:B,2,FALSE),"")</f>
        <v/>
      </c>
      <c r="O356" s="9"/>
      <c r="P356" s="9"/>
      <c r="Q356" s="9"/>
      <c r="R356" s="9"/>
      <c r="S356" s="9"/>
      <c r="T356" s="11"/>
      <c r="U356" s="12" t="s">
        <v>57</v>
      </c>
      <c r="V356" s="12" t="s">
        <v>52</v>
      </c>
      <c r="W356" s="9">
        <v>10</v>
      </c>
      <c r="X356" s="9" t="s">
        <v>39</v>
      </c>
      <c r="Y356" s="9" t="s">
        <v>40</v>
      </c>
      <c r="Z356" s="9" t="s">
        <v>41</v>
      </c>
      <c r="AA356" s="9" t="s">
        <v>42</v>
      </c>
      <c r="AB356" s="9"/>
      <c r="AC356" s="9"/>
    </row>
    <row r="357" spans="1:29" ht="22.5" customHeight="1">
      <c r="A357" s="9" t="s">
        <v>29</v>
      </c>
      <c r="B357" s="9" t="s">
        <v>203</v>
      </c>
      <c r="C357" s="9"/>
      <c r="D357" s="9" t="s">
        <v>31</v>
      </c>
      <c r="E357" s="9" t="s">
        <v>44</v>
      </c>
      <c r="F357" s="9" t="s">
        <v>33</v>
      </c>
      <c r="G357" s="9" t="s">
        <v>34</v>
      </c>
      <c r="H357" s="10" t="s">
        <v>733</v>
      </c>
      <c r="I357" s="9"/>
      <c r="J357" s="9" t="s">
        <v>49</v>
      </c>
      <c r="K357" s="9"/>
      <c r="L357" s="9"/>
      <c r="M357" s="10" t="s">
        <v>732</v>
      </c>
      <c r="N357" s="10" t="str">
        <f>IFERROR(VLOOKUP(M357,[1]DESC!A:B,2,FALSE),"")</f>
        <v/>
      </c>
      <c r="O357" s="9"/>
      <c r="P357" s="9"/>
      <c r="Q357" s="9"/>
      <c r="R357" s="9"/>
      <c r="S357" s="9"/>
      <c r="T357" s="11"/>
      <c r="U357" s="12" t="s">
        <v>57</v>
      </c>
      <c r="V357" s="12" t="s">
        <v>52</v>
      </c>
      <c r="W357" s="9">
        <v>10</v>
      </c>
      <c r="X357" s="9" t="s">
        <v>39</v>
      </c>
      <c r="Y357" s="9" t="s">
        <v>40</v>
      </c>
      <c r="Z357" s="9" t="s">
        <v>41</v>
      </c>
      <c r="AA357" s="9" t="s">
        <v>42</v>
      </c>
      <c r="AB357" s="9"/>
      <c r="AC357" s="9"/>
    </row>
    <row r="358" spans="1:29" ht="22.5" customHeight="1">
      <c r="A358" s="9" t="s">
        <v>29</v>
      </c>
      <c r="B358" s="9" t="s">
        <v>203</v>
      </c>
      <c r="C358" s="9"/>
      <c r="D358" s="9" t="s">
        <v>31</v>
      </c>
      <c r="E358" s="9" t="s">
        <v>44</v>
      </c>
      <c r="F358" s="9" t="s">
        <v>33</v>
      </c>
      <c r="G358" s="9" t="s">
        <v>34</v>
      </c>
      <c r="H358" s="10" t="s">
        <v>211</v>
      </c>
      <c r="I358" s="9"/>
      <c r="J358" s="9" t="s">
        <v>49</v>
      </c>
      <c r="K358" s="9"/>
      <c r="L358" s="9"/>
      <c r="M358" s="10" t="s">
        <v>732</v>
      </c>
      <c r="N358" s="10" t="str">
        <f>IFERROR(VLOOKUP(M358,[1]DESC!A:B,2,FALSE),"")</f>
        <v/>
      </c>
      <c r="O358" s="9"/>
      <c r="P358" s="9"/>
      <c r="Q358" s="9"/>
      <c r="R358" s="9"/>
      <c r="S358" s="9"/>
      <c r="T358" s="11"/>
      <c r="U358" s="12" t="s">
        <v>57</v>
      </c>
      <c r="V358" s="12" t="s">
        <v>52</v>
      </c>
      <c r="W358" s="9">
        <v>10</v>
      </c>
      <c r="X358" s="9" t="s">
        <v>39</v>
      </c>
      <c r="Y358" s="9" t="s">
        <v>40</v>
      </c>
      <c r="Z358" s="9" t="s">
        <v>41</v>
      </c>
      <c r="AA358" s="9" t="s">
        <v>42</v>
      </c>
      <c r="AB358" s="9"/>
      <c r="AC358" s="9"/>
    </row>
    <row r="359" spans="1:29" ht="22.5" customHeight="1">
      <c r="A359" s="9" t="s">
        <v>29</v>
      </c>
      <c r="B359" s="9" t="s">
        <v>203</v>
      </c>
      <c r="C359" s="9"/>
      <c r="D359" s="9" t="s">
        <v>31</v>
      </c>
      <c r="E359" s="9" t="s">
        <v>44</v>
      </c>
      <c r="F359" s="9" t="s">
        <v>33</v>
      </c>
      <c r="G359" s="9" t="s">
        <v>34</v>
      </c>
      <c r="H359" s="10" t="s">
        <v>197</v>
      </c>
      <c r="I359" s="9"/>
      <c r="J359" s="9" t="s">
        <v>49</v>
      </c>
      <c r="K359" s="9"/>
      <c r="L359" s="9"/>
      <c r="M359" s="10" t="s">
        <v>732</v>
      </c>
      <c r="N359" s="10" t="str">
        <f>IFERROR(VLOOKUP(M359,[1]DESC!A:B,2,FALSE),"")</f>
        <v/>
      </c>
      <c r="O359" s="9"/>
      <c r="P359" s="9"/>
      <c r="Q359" s="9"/>
      <c r="R359" s="9"/>
      <c r="S359" s="9"/>
      <c r="T359" s="11"/>
      <c r="U359" s="12" t="s">
        <v>57</v>
      </c>
      <c r="V359" s="12" t="s">
        <v>52</v>
      </c>
      <c r="W359" s="9">
        <v>10</v>
      </c>
      <c r="X359" s="9" t="s">
        <v>39</v>
      </c>
      <c r="Y359" s="9" t="s">
        <v>40</v>
      </c>
      <c r="Z359" s="9" t="s">
        <v>41</v>
      </c>
      <c r="AA359" s="9" t="s">
        <v>42</v>
      </c>
      <c r="AB359" s="9"/>
      <c r="AC359" s="9"/>
    </row>
    <row r="360" spans="1:29" ht="22.5" customHeight="1">
      <c r="A360" s="9" t="s">
        <v>29</v>
      </c>
      <c r="B360" s="9" t="s">
        <v>203</v>
      </c>
      <c r="C360" s="9"/>
      <c r="D360" s="9" t="s">
        <v>31</v>
      </c>
      <c r="E360" s="9" t="s">
        <v>44</v>
      </c>
      <c r="F360" s="9" t="s">
        <v>33</v>
      </c>
      <c r="G360" s="9" t="s">
        <v>34</v>
      </c>
      <c r="H360" s="10" t="s">
        <v>734</v>
      </c>
      <c r="I360" s="9"/>
      <c r="J360" s="9" t="s">
        <v>49</v>
      </c>
      <c r="K360" s="9"/>
      <c r="L360" s="9"/>
      <c r="M360" s="10" t="s">
        <v>732</v>
      </c>
      <c r="N360" s="10" t="str">
        <f>IFERROR(VLOOKUP(M360,[1]DESC!A:B,2,FALSE),"")</f>
        <v/>
      </c>
      <c r="O360" s="9"/>
      <c r="P360" s="9"/>
      <c r="Q360" s="9"/>
      <c r="R360" s="9"/>
      <c r="S360" s="9"/>
      <c r="T360" s="11"/>
      <c r="U360" s="12" t="s">
        <v>57</v>
      </c>
      <c r="V360" s="12" t="s">
        <v>52</v>
      </c>
      <c r="W360" s="9">
        <v>10</v>
      </c>
      <c r="X360" s="9" t="s">
        <v>39</v>
      </c>
      <c r="Y360" s="9" t="s">
        <v>40</v>
      </c>
      <c r="Z360" s="9" t="s">
        <v>41</v>
      </c>
      <c r="AA360" s="9" t="s">
        <v>42</v>
      </c>
      <c r="AB360" s="9"/>
      <c r="AC360" s="9"/>
    </row>
    <row r="361" spans="1:29" ht="22.5" customHeight="1">
      <c r="A361" s="9" t="s">
        <v>29</v>
      </c>
      <c r="B361" s="9" t="s">
        <v>203</v>
      </c>
      <c r="C361" s="9"/>
      <c r="D361" s="9" t="s">
        <v>31</v>
      </c>
      <c r="E361" s="9" t="s">
        <v>44</v>
      </c>
      <c r="F361" s="9" t="s">
        <v>33</v>
      </c>
      <c r="G361" s="9" t="s">
        <v>34</v>
      </c>
      <c r="H361" s="10" t="s">
        <v>735</v>
      </c>
      <c r="I361" s="9"/>
      <c r="J361" s="9" t="s">
        <v>49</v>
      </c>
      <c r="K361" s="9"/>
      <c r="L361" s="9"/>
      <c r="M361" s="10" t="s">
        <v>732</v>
      </c>
      <c r="N361" s="10" t="str">
        <f>IFERROR(VLOOKUP(M361,[1]DESC!A:B,2,FALSE),"")</f>
        <v/>
      </c>
      <c r="O361" s="9"/>
      <c r="P361" s="9"/>
      <c r="Q361" s="9"/>
      <c r="R361" s="9"/>
      <c r="S361" s="9"/>
      <c r="T361" s="11"/>
      <c r="U361" s="12" t="s">
        <v>57</v>
      </c>
      <c r="V361" s="12" t="s">
        <v>52</v>
      </c>
      <c r="W361" s="9">
        <v>10</v>
      </c>
      <c r="X361" s="9" t="s">
        <v>39</v>
      </c>
      <c r="Y361" s="9" t="s">
        <v>40</v>
      </c>
      <c r="Z361" s="9" t="s">
        <v>41</v>
      </c>
      <c r="AA361" s="9" t="s">
        <v>42</v>
      </c>
      <c r="AB361" s="9"/>
      <c r="AC361" s="9"/>
    </row>
    <row r="362" spans="1:29" ht="22.5" customHeight="1">
      <c r="A362" s="9" t="s">
        <v>29</v>
      </c>
      <c r="B362" s="9" t="s">
        <v>736</v>
      </c>
      <c r="C362" s="9"/>
      <c r="D362" s="9" t="s">
        <v>31</v>
      </c>
      <c r="E362" s="9" t="s">
        <v>44</v>
      </c>
      <c r="F362" s="9" t="s">
        <v>33</v>
      </c>
      <c r="G362" s="9" t="s">
        <v>34</v>
      </c>
      <c r="H362" s="10" t="s">
        <v>737</v>
      </c>
      <c r="I362" s="9"/>
      <c r="J362" s="9" t="s">
        <v>35</v>
      </c>
      <c r="K362" s="9"/>
      <c r="L362" s="9"/>
      <c r="M362" s="10" t="s">
        <v>738</v>
      </c>
      <c r="N362" s="10" t="str">
        <f>IFERROR(VLOOKUP(M362,[1]DESC!A:B,2,FALSE),"")</f>
        <v/>
      </c>
      <c r="O362" s="9"/>
      <c r="P362" s="9"/>
      <c r="Q362" s="9"/>
      <c r="R362" s="9"/>
      <c r="S362" s="9"/>
      <c r="T362" s="11"/>
      <c r="U362" s="12" t="s">
        <v>57</v>
      </c>
      <c r="V362" s="12" t="s">
        <v>47</v>
      </c>
      <c r="W362" s="9">
        <v>10</v>
      </c>
      <c r="X362" s="9" t="s">
        <v>39</v>
      </c>
      <c r="Y362" s="9" t="s">
        <v>40</v>
      </c>
      <c r="Z362" s="9" t="s">
        <v>41</v>
      </c>
      <c r="AA362" s="9" t="s">
        <v>42</v>
      </c>
      <c r="AB362" s="9"/>
      <c r="AC362" s="9"/>
    </row>
    <row r="363" spans="1:29" ht="22.5" customHeight="1">
      <c r="A363" s="9" t="s">
        <v>29</v>
      </c>
      <c r="B363" s="9" t="s">
        <v>736</v>
      </c>
      <c r="C363" s="9"/>
      <c r="D363" s="9" t="s">
        <v>31</v>
      </c>
      <c r="E363" s="9" t="s">
        <v>44</v>
      </c>
      <c r="F363" s="9" t="s">
        <v>33</v>
      </c>
      <c r="G363" s="9" t="s">
        <v>34</v>
      </c>
      <c r="H363" s="10" t="s">
        <v>739</v>
      </c>
      <c r="I363" s="9"/>
      <c r="J363" s="9" t="s">
        <v>35</v>
      </c>
      <c r="K363" s="9"/>
      <c r="L363" s="9"/>
      <c r="M363" s="10" t="s">
        <v>738</v>
      </c>
      <c r="N363" s="10" t="str">
        <f>IFERROR(VLOOKUP(M363,[1]DESC!A:B,2,FALSE),"")</f>
        <v/>
      </c>
      <c r="O363" s="9"/>
      <c r="P363" s="9"/>
      <c r="Q363" s="9"/>
      <c r="R363" s="9"/>
      <c r="S363" s="9"/>
      <c r="T363" s="11"/>
      <c r="U363" s="12" t="s">
        <v>57</v>
      </c>
      <c r="V363" s="12" t="s">
        <v>47</v>
      </c>
      <c r="W363" s="9">
        <v>10</v>
      </c>
      <c r="X363" s="9" t="s">
        <v>39</v>
      </c>
      <c r="Y363" s="9" t="s">
        <v>40</v>
      </c>
      <c r="Z363" s="9" t="s">
        <v>41</v>
      </c>
      <c r="AA363" s="9" t="s">
        <v>42</v>
      </c>
      <c r="AB363" s="9"/>
      <c r="AC363" s="9"/>
    </row>
    <row r="364" spans="1:29" ht="22.5" customHeight="1">
      <c r="A364" s="9" t="s">
        <v>29</v>
      </c>
      <c r="B364" s="9" t="s">
        <v>740</v>
      </c>
      <c r="C364" s="9"/>
      <c r="D364" s="9" t="s">
        <v>31</v>
      </c>
      <c r="E364" s="9" t="s">
        <v>44</v>
      </c>
      <c r="F364" s="9" t="s">
        <v>33</v>
      </c>
      <c r="G364" s="9" t="s">
        <v>34</v>
      </c>
      <c r="H364" s="10"/>
      <c r="I364" s="9"/>
      <c r="J364" s="9" t="s">
        <v>35</v>
      </c>
      <c r="K364" s="9"/>
      <c r="L364" s="9"/>
      <c r="M364" s="10" t="s">
        <v>741</v>
      </c>
      <c r="N364" s="10" t="str">
        <f>IFERROR(VLOOKUP(M364,[1]DESC!A:B,2,FALSE),"")</f>
        <v/>
      </c>
      <c r="O364" s="9"/>
      <c r="P364" s="9"/>
      <c r="Q364" s="9"/>
      <c r="R364" s="9"/>
      <c r="S364" s="9"/>
      <c r="T364" s="11"/>
      <c r="U364" s="12" t="s">
        <v>46</v>
      </c>
      <c r="V364" s="12" t="s">
        <v>47</v>
      </c>
      <c r="W364" s="9">
        <v>10</v>
      </c>
      <c r="X364" s="9" t="s">
        <v>39</v>
      </c>
      <c r="Y364" s="9" t="s">
        <v>40</v>
      </c>
      <c r="Z364" s="9" t="s">
        <v>41</v>
      </c>
      <c r="AA364" s="9" t="s">
        <v>42</v>
      </c>
      <c r="AB364" s="9"/>
      <c r="AC364" s="9"/>
    </row>
    <row r="365" spans="1:29" ht="22.5" customHeight="1">
      <c r="A365" s="9" t="s">
        <v>29</v>
      </c>
      <c r="B365" s="9" t="s">
        <v>742</v>
      </c>
      <c r="C365" s="9"/>
      <c r="D365" s="9" t="s">
        <v>31</v>
      </c>
      <c r="E365" s="9" t="s">
        <v>44</v>
      </c>
      <c r="F365" s="9" t="s">
        <v>33</v>
      </c>
      <c r="G365" s="9" t="s">
        <v>34</v>
      </c>
      <c r="H365" s="10" t="s">
        <v>743</v>
      </c>
      <c r="I365" s="9"/>
      <c r="J365" s="9" t="s">
        <v>49</v>
      </c>
      <c r="K365" s="9"/>
      <c r="L365" s="9"/>
      <c r="M365" s="10" t="s">
        <v>744</v>
      </c>
      <c r="N365" s="10" t="str">
        <f>IFERROR(VLOOKUP(M365,[1]DESC!A:B,2,FALSE),"")</f>
        <v/>
      </c>
      <c r="O365" s="9"/>
      <c r="P365" s="9"/>
      <c r="Q365" s="9"/>
      <c r="R365" s="9"/>
      <c r="S365" s="9"/>
      <c r="T365" s="11"/>
      <c r="U365" s="12" t="s">
        <v>57</v>
      </c>
      <c r="V365" s="12" t="s">
        <v>47</v>
      </c>
      <c r="W365" s="9">
        <v>10</v>
      </c>
      <c r="X365" s="9" t="s">
        <v>39</v>
      </c>
      <c r="Y365" s="9" t="s">
        <v>40</v>
      </c>
      <c r="Z365" s="9" t="s">
        <v>41</v>
      </c>
      <c r="AA365" s="9" t="s">
        <v>42</v>
      </c>
      <c r="AB365" s="9"/>
      <c r="AC365" s="9"/>
    </row>
    <row r="366" spans="1:29" ht="22.5" customHeight="1">
      <c r="A366" s="9" t="s">
        <v>29</v>
      </c>
      <c r="B366" s="9" t="s">
        <v>742</v>
      </c>
      <c r="C366" s="9"/>
      <c r="D366" s="9" t="s">
        <v>31</v>
      </c>
      <c r="E366" s="9" t="s">
        <v>44</v>
      </c>
      <c r="F366" s="9" t="s">
        <v>33</v>
      </c>
      <c r="G366" s="9" t="s">
        <v>34</v>
      </c>
      <c r="H366" s="10" t="s">
        <v>745</v>
      </c>
      <c r="I366" s="9"/>
      <c r="J366" s="9" t="s">
        <v>49</v>
      </c>
      <c r="K366" s="9"/>
      <c r="L366" s="9"/>
      <c r="M366" s="10" t="s">
        <v>744</v>
      </c>
      <c r="N366" s="10" t="str">
        <f>IFERROR(VLOOKUP(M366,[1]DESC!A:B,2,FALSE),"")</f>
        <v/>
      </c>
      <c r="O366" s="9"/>
      <c r="P366" s="9"/>
      <c r="Q366" s="9"/>
      <c r="R366" s="9"/>
      <c r="S366" s="9"/>
      <c r="T366" s="11"/>
      <c r="U366" s="12" t="s">
        <v>57</v>
      </c>
      <c r="V366" s="12" t="s">
        <v>47</v>
      </c>
      <c r="W366" s="9">
        <v>10</v>
      </c>
      <c r="X366" s="9" t="s">
        <v>39</v>
      </c>
      <c r="Y366" s="9" t="s">
        <v>40</v>
      </c>
      <c r="Z366" s="9" t="s">
        <v>41</v>
      </c>
      <c r="AA366" s="9" t="s">
        <v>42</v>
      </c>
      <c r="AB366" s="9"/>
      <c r="AC366" s="9"/>
    </row>
    <row r="367" spans="1:29" ht="22.5" customHeight="1">
      <c r="A367" s="9" t="s">
        <v>29</v>
      </c>
      <c r="B367" s="9" t="s">
        <v>517</v>
      </c>
      <c r="C367" s="9"/>
      <c r="D367" s="9" t="s">
        <v>31</v>
      </c>
      <c r="E367" s="9" t="s">
        <v>44</v>
      </c>
      <c r="F367" s="9" t="s">
        <v>33</v>
      </c>
      <c r="G367" s="9" t="s">
        <v>34</v>
      </c>
      <c r="H367" s="10" t="s">
        <v>222</v>
      </c>
      <c r="I367" s="9"/>
      <c r="J367" s="9" t="s">
        <v>35</v>
      </c>
      <c r="K367" s="9"/>
      <c r="L367" s="9"/>
      <c r="M367" s="10" t="s">
        <v>746</v>
      </c>
      <c r="N367" s="10" t="str">
        <f>IFERROR(VLOOKUP(M367,[1]DESC!A:B,2,FALSE),"")</f>
        <v/>
      </c>
      <c r="O367" s="9"/>
      <c r="P367" s="9"/>
      <c r="Q367" s="9"/>
      <c r="R367" s="9"/>
      <c r="S367" s="9"/>
      <c r="T367" s="11"/>
      <c r="U367" s="12" t="s">
        <v>57</v>
      </c>
      <c r="V367" s="12" t="s">
        <v>53</v>
      </c>
      <c r="W367" s="9">
        <v>10</v>
      </c>
      <c r="X367" s="9" t="s">
        <v>39</v>
      </c>
      <c r="Y367" s="9" t="s">
        <v>40</v>
      </c>
      <c r="Z367" s="9" t="s">
        <v>41</v>
      </c>
      <c r="AA367" s="9" t="s">
        <v>42</v>
      </c>
      <c r="AB367" s="9"/>
      <c r="AC367" s="9"/>
    </row>
    <row r="368" spans="1:29" ht="22.5" customHeight="1">
      <c r="A368" s="9" t="s">
        <v>29</v>
      </c>
      <c r="B368" s="9" t="s">
        <v>747</v>
      </c>
      <c r="C368" s="9"/>
      <c r="D368" s="9" t="s">
        <v>31</v>
      </c>
      <c r="E368" s="9" t="s">
        <v>44</v>
      </c>
      <c r="F368" s="9" t="s">
        <v>33</v>
      </c>
      <c r="G368" s="9" t="s">
        <v>34</v>
      </c>
      <c r="H368" s="10" t="s">
        <v>748</v>
      </c>
      <c r="I368" s="9"/>
      <c r="J368" s="9" t="s">
        <v>49</v>
      </c>
      <c r="K368" s="9"/>
      <c r="L368" s="9"/>
      <c r="M368" s="10" t="s">
        <v>749</v>
      </c>
      <c r="N368" s="10" t="str">
        <f>IFERROR(VLOOKUP(M368,[1]DESC!A:B,2,FALSE),"")</f>
        <v/>
      </c>
      <c r="O368" s="9"/>
      <c r="P368" s="9"/>
      <c r="Q368" s="9"/>
      <c r="R368" s="9"/>
      <c r="S368" s="9"/>
      <c r="T368" s="11"/>
      <c r="U368" s="12" t="s">
        <v>57</v>
      </c>
      <c r="V368" s="12" t="s">
        <v>47</v>
      </c>
      <c r="W368" s="9">
        <v>10</v>
      </c>
      <c r="X368" s="9" t="s">
        <v>39</v>
      </c>
      <c r="Y368" s="9" t="s">
        <v>40</v>
      </c>
      <c r="Z368" s="9" t="s">
        <v>41</v>
      </c>
      <c r="AA368" s="9" t="s">
        <v>42</v>
      </c>
      <c r="AB368" s="9"/>
      <c r="AC368" s="9"/>
    </row>
    <row r="369" spans="1:29" ht="22.5" customHeight="1">
      <c r="A369" s="9" t="s">
        <v>29</v>
      </c>
      <c r="B369" s="9" t="s">
        <v>747</v>
      </c>
      <c r="C369" s="9"/>
      <c r="D369" s="9" t="s">
        <v>31</v>
      </c>
      <c r="E369" s="9" t="s">
        <v>44</v>
      </c>
      <c r="F369" s="9" t="s">
        <v>33</v>
      </c>
      <c r="G369" s="9" t="s">
        <v>34</v>
      </c>
      <c r="H369" s="10" t="s">
        <v>750</v>
      </c>
      <c r="I369" s="9"/>
      <c r="J369" s="9" t="s">
        <v>49</v>
      </c>
      <c r="K369" s="9"/>
      <c r="L369" s="9"/>
      <c r="M369" s="10" t="s">
        <v>749</v>
      </c>
      <c r="N369" s="10" t="str">
        <f>IFERROR(VLOOKUP(M369,[1]DESC!A:B,2,FALSE),"")</f>
        <v/>
      </c>
      <c r="O369" s="9"/>
      <c r="P369" s="9"/>
      <c r="Q369" s="9"/>
      <c r="R369" s="9"/>
      <c r="S369" s="9"/>
      <c r="T369" s="11"/>
      <c r="U369" s="12" t="s">
        <v>57</v>
      </c>
      <c r="V369" s="12" t="s">
        <v>47</v>
      </c>
      <c r="W369" s="9">
        <v>10</v>
      </c>
      <c r="X369" s="9" t="s">
        <v>39</v>
      </c>
      <c r="Y369" s="9" t="s">
        <v>40</v>
      </c>
      <c r="Z369" s="9" t="s">
        <v>41</v>
      </c>
      <c r="AA369" s="9" t="s">
        <v>42</v>
      </c>
      <c r="AB369" s="9"/>
      <c r="AC369" s="9"/>
    </row>
    <row r="370" spans="1:29" ht="22.5" customHeight="1">
      <c r="A370" s="9" t="s">
        <v>29</v>
      </c>
      <c r="B370" s="9" t="s">
        <v>751</v>
      </c>
      <c r="C370" s="9"/>
      <c r="D370" s="9" t="s">
        <v>31</v>
      </c>
      <c r="E370" s="9" t="s">
        <v>44</v>
      </c>
      <c r="F370" s="9" t="s">
        <v>33</v>
      </c>
      <c r="G370" s="9" t="s">
        <v>34</v>
      </c>
      <c r="H370" s="10" t="s">
        <v>447</v>
      </c>
      <c r="I370" s="9"/>
      <c r="J370" s="9" t="s">
        <v>49</v>
      </c>
      <c r="K370" s="9"/>
      <c r="L370" s="9"/>
      <c r="M370" s="10" t="s">
        <v>752</v>
      </c>
      <c r="N370" s="10" t="str">
        <f>IFERROR(VLOOKUP(M370,[1]DESC!A:B,2,FALSE),"")</f>
        <v/>
      </c>
      <c r="O370" s="9"/>
      <c r="P370" s="9"/>
      <c r="Q370" s="9"/>
      <c r="R370" s="9"/>
      <c r="S370" s="9"/>
      <c r="T370" s="11"/>
      <c r="U370" s="12" t="s">
        <v>57</v>
      </c>
      <c r="V370" s="12" t="s">
        <v>47</v>
      </c>
      <c r="W370" s="9">
        <v>10</v>
      </c>
      <c r="X370" s="9" t="s">
        <v>39</v>
      </c>
      <c r="Y370" s="9" t="s">
        <v>40</v>
      </c>
      <c r="Z370" s="9" t="s">
        <v>41</v>
      </c>
      <c r="AA370" s="9" t="s">
        <v>42</v>
      </c>
      <c r="AB370" s="9"/>
      <c r="AC370" s="9"/>
    </row>
    <row r="371" spans="1:29" ht="22.5" customHeight="1">
      <c r="A371" s="9" t="s">
        <v>29</v>
      </c>
      <c r="B371" s="9" t="s">
        <v>751</v>
      </c>
      <c r="C371" s="9"/>
      <c r="D371" s="9" t="s">
        <v>31</v>
      </c>
      <c r="E371" s="9" t="s">
        <v>44</v>
      </c>
      <c r="F371" s="9" t="s">
        <v>33</v>
      </c>
      <c r="G371" s="9" t="s">
        <v>34</v>
      </c>
      <c r="H371" s="10" t="s">
        <v>753</v>
      </c>
      <c r="I371" s="9"/>
      <c r="J371" s="9" t="s">
        <v>49</v>
      </c>
      <c r="K371" s="9"/>
      <c r="L371" s="9"/>
      <c r="M371" s="10" t="s">
        <v>752</v>
      </c>
      <c r="N371" s="10" t="str">
        <f>IFERROR(VLOOKUP(M371,[1]DESC!A:B,2,FALSE),"")</f>
        <v/>
      </c>
      <c r="O371" s="9"/>
      <c r="P371" s="9"/>
      <c r="Q371" s="9"/>
      <c r="R371" s="9"/>
      <c r="S371" s="9"/>
      <c r="T371" s="11"/>
      <c r="U371" s="12" t="s">
        <v>57</v>
      </c>
      <c r="V371" s="12" t="s">
        <v>47</v>
      </c>
      <c r="W371" s="9">
        <v>10</v>
      </c>
      <c r="X371" s="9" t="s">
        <v>39</v>
      </c>
      <c r="Y371" s="9" t="s">
        <v>40</v>
      </c>
      <c r="Z371" s="9" t="s">
        <v>41</v>
      </c>
      <c r="AA371" s="9" t="s">
        <v>42</v>
      </c>
      <c r="AB371" s="9"/>
      <c r="AC371" s="9"/>
    </row>
    <row r="372" spans="1:29" ht="22.5" customHeight="1">
      <c r="A372" s="9" t="s">
        <v>29</v>
      </c>
      <c r="B372" s="9" t="s">
        <v>754</v>
      </c>
      <c r="C372" s="9"/>
      <c r="D372" s="9" t="s">
        <v>31</v>
      </c>
      <c r="E372" s="9" t="s">
        <v>44</v>
      </c>
      <c r="F372" s="9" t="s">
        <v>33</v>
      </c>
      <c r="G372" s="9" t="s">
        <v>34</v>
      </c>
      <c r="H372" s="10" t="s">
        <v>755</v>
      </c>
      <c r="I372" s="9"/>
      <c r="J372" s="9" t="s">
        <v>49</v>
      </c>
      <c r="K372" s="9"/>
      <c r="L372" s="9"/>
      <c r="M372" s="10" t="s">
        <v>756</v>
      </c>
      <c r="N372" s="10" t="str">
        <f>IFERROR(VLOOKUP(M372,[1]DESC!A:B,2,FALSE),"")</f>
        <v/>
      </c>
      <c r="O372" s="9"/>
      <c r="P372" s="9"/>
      <c r="Q372" s="9"/>
      <c r="R372" s="9"/>
      <c r="S372" s="9"/>
      <c r="T372" s="11"/>
      <c r="U372" s="12" t="s">
        <v>57</v>
      </c>
      <c r="V372" s="12" t="s">
        <v>47</v>
      </c>
      <c r="W372" s="9">
        <v>10</v>
      </c>
      <c r="X372" s="9" t="s">
        <v>39</v>
      </c>
      <c r="Y372" s="9" t="s">
        <v>40</v>
      </c>
      <c r="Z372" s="9" t="s">
        <v>41</v>
      </c>
      <c r="AA372" s="9" t="s">
        <v>42</v>
      </c>
      <c r="AB372" s="9"/>
      <c r="AC372" s="9"/>
    </row>
    <row r="373" spans="1:29" ht="22.5" customHeight="1">
      <c r="A373" s="9" t="s">
        <v>29</v>
      </c>
      <c r="B373" s="9" t="s">
        <v>754</v>
      </c>
      <c r="C373" s="9"/>
      <c r="D373" s="9" t="s">
        <v>31</v>
      </c>
      <c r="E373" s="9" t="s">
        <v>44</v>
      </c>
      <c r="F373" s="9" t="s">
        <v>33</v>
      </c>
      <c r="G373" s="9" t="s">
        <v>34</v>
      </c>
      <c r="H373" s="10" t="s">
        <v>757</v>
      </c>
      <c r="I373" s="9"/>
      <c r="J373" s="9" t="s">
        <v>49</v>
      </c>
      <c r="K373" s="9"/>
      <c r="L373" s="9"/>
      <c r="M373" s="10" t="s">
        <v>756</v>
      </c>
      <c r="N373" s="10" t="str">
        <f>IFERROR(VLOOKUP(M373,[1]DESC!A:B,2,FALSE),"")</f>
        <v/>
      </c>
      <c r="O373" s="9"/>
      <c r="P373" s="9"/>
      <c r="Q373" s="9"/>
      <c r="R373" s="9"/>
      <c r="S373" s="9"/>
      <c r="T373" s="11"/>
      <c r="U373" s="12" t="s">
        <v>57</v>
      </c>
      <c r="V373" s="12" t="s">
        <v>47</v>
      </c>
      <c r="W373" s="9">
        <v>10</v>
      </c>
      <c r="X373" s="9" t="s">
        <v>39</v>
      </c>
      <c r="Y373" s="9" t="s">
        <v>40</v>
      </c>
      <c r="Z373" s="9" t="s">
        <v>41</v>
      </c>
      <c r="AA373" s="9" t="s">
        <v>42</v>
      </c>
      <c r="AB373" s="9"/>
      <c r="AC373" s="9"/>
    </row>
    <row r="374" spans="1:29" ht="22.5" customHeight="1">
      <c r="A374" s="9" t="s">
        <v>29</v>
      </c>
      <c r="B374" s="9" t="s">
        <v>515</v>
      </c>
      <c r="C374" s="9"/>
      <c r="D374" s="9" t="s">
        <v>31</v>
      </c>
      <c r="E374" s="9" t="s">
        <v>44</v>
      </c>
      <c r="F374" s="9" t="s">
        <v>33</v>
      </c>
      <c r="G374" s="9" t="s">
        <v>34</v>
      </c>
      <c r="H374" s="10" t="s">
        <v>222</v>
      </c>
      <c r="I374" s="9"/>
      <c r="J374" s="9" t="s">
        <v>49</v>
      </c>
      <c r="K374" s="9"/>
      <c r="L374" s="9"/>
      <c r="M374" s="10" t="s">
        <v>758</v>
      </c>
      <c r="N374" s="10" t="str">
        <f>IFERROR(VLOOKUP(M374,[1]DESC!A:B,2,FALSE),"")</f>
        <v/>
      </c>
      <c r="O374" s="9"/>
      <c r="P374" s="9"/>
      <c r="Q374" s="9"/>
      <c r="R374" s="9"/>
      <c r="S374" s="9"/>
      <c r="T374" s="11"/>
      <c r="U374" s="12" t="s">
        <v>57</v>
      </c>
      <c r="V374" s="12" t="s">
        <v>52</v>
      </c>
      <c r="W374" s="9">
        <v>10</v>
      </c>
      <c r="X374" s="9" t="s">
        <v>39</v>
      </c>
      <c r="Y374" s="9" t="s">
        <v>40</v>
      </c>
      <c r="Z374" s="9" t="s">
        <v>41</v>
      </c>
      <c r="AA374" s="9" t="s">
        <v>42</v>
      </c>
      <c r="AB374" s="9"/>
      <c r="AC374" s="9"/>
    </row>
    <row r="375" spans="1:29" ht="22.5" customHeight="1">
      <c r="A375" s="9" t="s">
        <v>29</v>
      </c>
      <c r="B375" s="9" t="s">
        <v>515</v>
      </c>
      <c r="C375" s="9"/>
      <c r="D375" s="9" t="s">
        <v>31</v>
      </c>
      <c r="E375" s="9" t="s">
        <v>44</v>
      </c>
      <c r="F375" s="9" t="s">
        <v>33</v>
      </c>
      <c r="G375" s="9" t="s">
        <v>34</v>
      </c>
      <c r="H375" s="10" t="s">
        <v>222</v>
      </c>
      <c r="I375" s="9"/>
      <c r="J375" s="9" t="s">
        <v>49</v>
      </c>
      <c r="K375" s="9"/>
      <c r="L375" s="9"/>
      <c r="M375" s="10" t="s">
        <v>758</v>
      </c>
      <c r="N375" s="10" t="str">
        <f>IFERROR(VLOOKUP(M375,[1]DESC!A:B,2,FALSE),"")</f>
        <v/>
      </c>
      <c r="O375" s="9"/>
      <c r="P375" s="9"/>
      <c r="Q375" s="9"/>
      <c r="R375" s="9"/>
      <c r="S375" s="9"/>
      <c r="T375" s="11"/>
      <c r="U375" s="12" t="s">
        <v>57</v>
      </c>
      <c r="V375" s="12" t="s">
        <v>52</v>
      </c>
      <c r="W375" s="9">
        <v>10</v>
      </c>
      <c r="X375" s="9" t="s">
        <v>39</v>
      </c>
      <c r="Y375" s="9" t="s">
        <v>40</v>
      </c>
      <c r="Z375" s="9" t="s">
        <v>41</v>
      </c>
      <c r="AA375" s="9" t="s">
        <v>42</v>
      </c>
      <c r="AB375" s="9"/>
      <c r="AC375" s="9"/>
    </row>
    <row r="376" spans="1:29" ht="22.5" customHeight="1">
      <c r="A376" s="9" t="s">
        <v>29</v>
      </c>
      <c r="B376" s="9" t="s">
        <v>515</v>
      </c>
      <c r="C376" s="9"/>
      <c r="D376" s="9" t="s">
        <v>31</v>
      </c>
      <c r="E376" s="9" t="s">
        <v>44</v>
      </c>
      <c r="F376" s="9" t="s">
        <v>33</v>
      </c>
      <c r="G376" s="9" t="s">
        <v>34</v>
      </c>
      <c r="H376" s="10" t="s">
        <v>222</v>
      </c>
      <c r="I376" s="9"/>
      <c r="J376" s="9" t="s">
        <v>49</v>
      </c>
      <c r="K376" s="9"/>
      <c r="L376" s="9"/>
      <c r="M376" s="10" t="s">
        <v>758</v>
      </c>
      <c r="N376" s="10" t="str">
        <f>IFERROR(VLOOKUP(M376,[1]DESC!A:B,2,FALSE),"")</f>
        <v/>
      </c>
      <c r="O376" s="9"/>
      <c r="P376" s="9"/>
      <c r="Q376" s="9"/>
      <c r="R376" s="9"/>
      <c r="S376" s="9"/>
      <c r="T376" s="11"/>
      <c r="U376" s="12" t="s">
        <v>57</v>
      </c>
      <c r="V376" s="12" t="s">
        <v>52</v>
      </c>
      <c r="W376" s="9">
        <v>10</v>
      </c>
      <c r="X376" s="9" t="s">
        <v>39</v>
      </c>
      <c r="Y376" s="9" t="s">
        <v>40</v>
      </c>
      <c r="Z376" s="9" t="s">
        <v>41</v>
      </c>
      <c r="AA376" s="9" t="s">
        <v>42</v>
      </c>
      <c r="AB376" s="9"/>
      <c r="AC376" s="9"/>
    </row>
    <row r="377" spans="1:29" ht="22.5" customHeight="1">
      <c r="A377" s="9" t="s">
        <v>29</v>
      </c>
      <c r="B377" s="9" t="s">
        <v>759</v>
      </c>
      <c r="C377" s="9"/>
      <c r="D377" s="9" t="s">
        <v>31</v>
      </c>
      <c r="E377" s="9" t="s">
        <v>44</v>
      </c>
      <c r="F377" s="9" t="s">
        <v>33</v>
      </c>
      <c r="G377" s="9" t="s">
        <v>34</v>
      </c>
      <c r="H377" s="10"/>
      <c r="I377" s="9"/>
      <c r="J377" s="9" t="s">
        <v>35</v>
      </c>
      <c r="K377" s="9"/>
      <c r="L377" s="9" t="s">
        <v>50</v>
      </c>
      <c r="M377" s="10" t="s">
        <v>760</v>
      </c>
      <c r="N377" s="10" t="str">
        <f>IFERROR(VLOOKUP(M377,[1]DESC!A:B,2,FALSE),"")</f>
        <v/>
      </c>
      <c r="O377" s="9"/>
      <c r="P377" s="9"/>
      <c r="Q377" s="9"/>
      <c r="R377" s="9"/>
      <c r="S377" s="9"/>
      <c r="T377" s="11"/>
      <c r="U377" s="12" t="s">
        <v>38</v>
      </c>
      <c r="V377" s="12" t="s">
        <v>53</v>
      </c>
      <c r="W377" s="9">
        <v>10</v>
      </c>
      <c r="X377" s="9" t="s">
        <v>39</v>
      </c>
      <c r="Y377" s="9" t="s">
        <v>40</v>
      </c>
      <c r="Z377" s="9" t="s">
        <v>41</v>
      </c>
      <c r="AA377" s="9" t="s">
        <v>42</v>
      </c>
      <c r="AB377" s="9"/>
      <c r="AC377" s="9"/>
    </row>
    <row r="378" spans="1:29" ht="22.5" customHeight="1">
      <c r="A378" s="9" t="s">
        <v>29</v>
      </c>
      <c r="B378" s="9" t="s">
        <v>152</v>
      </c>
      <c r="C378" s="9"/>
      <c r="D378" s="9" t="s">
        <v>31</v>
      </c>
      <c r="E378" s="9" t="s">
        <v>44</v>
      </c>
      <c r="F378" s="9" t="s">
        <v>33</v>
      </c>
      <c r="G378" s="9" t="s">
        <v>34</v>
      </c>
      <c r="H378" s="10" t="s">
        <v>761</v>
      </c>
      <c r="I378" s="9"/>
      <c r="J378" s="9" t="s">
        <v>35</v>
      </c>
      <c r="K378" s="9"/>
      <c r="L378" s="9"/>
      <c r="M378" s="10" t="s">
        <v>762</v>
      </c>
      <c r="N378" s="10" t="str">
        <f>IFERROR(VLOOKUP(M378,[1]DESC!A:B,2,FALSE),"")</f>
        <v/>
      </c>
      <c r="O378" s="9"/>
      <c r="P378" s="9"/>
      <c r="Q378" s="9"/>
      <c r="R378" s="9"/>
      <c r="S378" s="9"/>
      <c r="T378" s="11"/>
      <c r="U378" s="12" t="s">
        <v>57</v>
      </c>
      <c r="V378" s="12" t="s">
        <v>47</v>
      </c>
      <c r="W378" s="9">
        <v>10</v>
      </c>
      <c r="X378" s="9" t="s">
        <v>39</v>
      </c>
      <c r="Y378" s="9" t="s">
        <v>40</v>
      </c>
      <c r="Z378" s="9" t="s">
        <v>41</v>
      </c>
      <c r="AA378" s="9" t="s">
        <v>42</v>
      </c>
      <c r="AB378" s="9"/>
      <c r="AC378" s="9"/>
    </row>
    <row r="379" spans="1:29" ht="22.5" customHeight="1">
      <c r="A379" s="9" t="s">
        <v>29</v>
      </c>
      <c r="B379" s="9" t="s">
        <v>152</v>
      </c>
      <c r="C379" s="9"/>
      <c r="D379" s="9" t="s">
        <v>31</v>
      </c>
      <c r="E379" s="9" t="s">
        <v>44</v>
      </c>
      <c r="F379" s="9" t="s">
        <v>33</v>
      </c>
      <c r="G379" s="9" t="s">
        <v>34</v>
      </c>
      <c r="H379" s="10" t="s">
        <v>142</v>
      </c>
      <c r="I379" s="9"/>
      <c r="J379" s="9" t="s">
        <v>35</v>
      </c>
      <c r="K379" s="9"/>
      <c r="L379" s="9"/>
      <c r="M379" s="10" t="s">
        <v>762</v>
      </c>
      <c r="N379" s="10" t="str">
        <f>IFERROR(VLOOKUP(M379,[1]DESC!A:B,2,FALSE),"")</f>
        <v/>
      </c>
      <c r="O379" s="9"/>
      <c r="P379" s="9"/>
      <c r="Q379" s="9"/>
      <c r="R379" s="9"/>
      <c r="S379" s="9"/>
      <c r="T379" s="11"/>
      <c r="U379" s="12" t="s">
        <v>57</v>
      </c>
      <c r="V379" s="12" t="s">
        <v>47</v>
      </c>
      <c r="W379" s="9">
        <v>10</v>
      </c>
      <c r="X379" s="9" t="s">
        <v>39</v>
      </c>
      <c r="Y379" s="9" t="s">
        <v>40</v>
      </c>
      <c r="Z379" s="9" t="s">
        <v>41</v>
      </c>
      <c r="AA379" s="9" t="s">
        <v>42</v>
      </c>
      <c r="AB379" s="9"/>
      <c r="AC379" s="9"/>
    </row>
    <row r="380" spans="1:29" ht="22.5" customHeight="1">
      <c r="A380" s="9" t="s">
        <v>29</v>
      </c>
      <c r="B380" s="9" t="s">
        <v>152</v>
      </c>
      <c r="C380" s="9"/>
      <c r="D380" s="9" t="s">
        <v>31</v>
      </c>
      <c r="E380" s="9" t="s">
        <v>44</v>
      </c>
      <c r="F380" s="9" t="s">
        <v>33</v>
      </c>
      <c r="G380" s="9" t="s">
        <v>34</v>
      </c>
      <c r="H380" s="10" t="s">
        <v>763</v>
      </c>
      <c r="I380" s="9"/>
      <c r="J380" s="9" t="s">
        <v>35</v>
      </c>
      <c r="K380" s="9"/>
      <c r="L380" s="9"/>
      <c r="M380" s="10" t="s">
        <v>762</v>
      </c>
      <c r="N380" s="10" t="str">
        <f>IFERROR(VLOOKUP(M380,[1]DESC!A:B,2,FALSE),"")</f>
        <v/>
      </c>
      <c r="O380" s="9"/>
      <c r="P380" s="9"/>
      <c r="Q380" s="9"/>
      <c r="R380" s="9"/>
      <c r="S380" s="9"/>
      <c r="T380" s="11"/>
      <c r="U380" s="12" t="s">
        <v>57</v>
      </c>
      <c r="V380" s="12" t="s">
        <v>47</v>
      </c>
      <c r="W380" s="9">
        <v>10</v>
      </c>
      <c r="X380" s="9" t="s">
        <v>39</v>
      </c>
      <c r="Y380" s="9" t="s">
        <v>40</v>
      </c>
      <c r="Z380" s="9" t="s">
        <v>41</v>
      </c>
      <c r="AA380" s="9" t="s">
        <v>42</v>
      </c>
      <c r="AB380" s="9"/>
      <c r="AC380" s="9"/>
    </row>
    <row r="381" spans="1:29" ht="22.5" customHeight="1">
      <c r="A381" s="9" t="s">
        <v>29</v>
      </c>
      <c r="B381" s="9" t="s">
        <v>152</v>
      </c>
      <c r="C381" s="9"/>
      <c r="D381" s="9" t="s">
        <v>31</v>
      </c>
      <c r="E381" s="9" t="s">
        <v>44</v>
      </c>
      <c r="F381" s="9" t="s">
        <v>33</v>
      </c>
      <c r="G381" s="9" t="s">
        <v>34</v>
      </c>
      <c r="H381" s="10" t="s">
        <v>764</v>
      </c>
      <c r="I381" s="9"/>
      <c r="J381" s="9" t="s">
        <v>35</v>
      </c>
      <c r="K381" s="9"/>
      <c r="L381" s="9"/>
      <c r="M381" s="10" t="s">
        <v>762</v>
      </c>
      <c r="N381" s="10" t="str">
        <f>IFERROR(VLOOKUP(M381,[1]DESC!A:B,2,FALSE),"")</f>
        <v/>
      </c>
      <c r="O381" s="9"/>
      <c r="P381" s="9"/>
      <c r="Q381" s="9"/>
      <c r="R381" s="9"/>
      <c r="S381" s="9"/>
      <c r="T381" s="11"/>
      <c r="U381" s="12" t="s">
        <v>57</v>
      </c>
      <c r="V381" s="12" t="s">
        <v>47</v>
      </c>
      <c r="W381" s="9">
        <v>10</v>
      </c>
      <c r="X381" s="9" t="s">
        <v>39</v>
      </c>
      <c r="Y381" s="9" t="s">
        <v>40</v>
      </c>
      <c r="Z381" s="9" t="s">
        <v>41</v>
      </c>
      <c r="AA381" s="9" t="s">
        <v>42</v>
      </c>
      <c r="AB381" s="9"/>
      <c r="AC381" s="9"/>
    </row>
    <row r="382" spans="1:29" ht="22.5" customHeight="1">
      <c r="A382" s="9" t="s">
        <v>29</v>
      </c>
      <c r="B382" s="9" t="s">
        <v>765</v>
      </c>
      <c r="C382" s="9"/>
      <c r="D382" s="9" t="s">
        <v>31</v>
      </c>
      <c r="E382" s="9" t="s">
        <v>44</v>
      </c>
      <c r="F382" s="9" t="s">
        <v>33</v>
      </c>
      <c r="G382" s="9" t="s">
        <v>34</v>
      </c>
      <c r="H382" s="10"/>
      <c r="I382" s="9"/>
      <c r="J382" s="9" t="s">
        <v>49</v>
      </c>
      <c r="K382" s="9"/>
      <c r="L382" s="9"/>
      <c r="M382" s="10" t="s">
        <v>766</v>
      </c>
      <c r="N382" s="10" t="str">
        <f>IFERROR(VLOOKUP(M382,[1]DESC!A:B,2,FALSE),"")</f>
        <v/>
      </c>
      <c r="O382" s="9"/>
      <c r="P382" s="9"/>
      <c r="Q382" s="9"/>
      <c r="R382" s="9"/>
      <c r="S382" s="9"/>
      <c r="T382" s="11"/>
      <c r="U382" s="12" t="s">
        <v>37</v>
      </c>
      <c r="V382" s="12" t="s">
        <v>52</v>
      </c>
      <c r="W382" s="9">
        <v>10</v>
      </c>
      <c r="X382" s="9" t="s">
        <v>39</v>
      </c>
      <c r="Y382" s="9" t="s">
        <v>40</v>
      </c>
      <c r="Z382" s="9" t="s">
        <v>41</v>
      </c>
      <c r="AA382" s="9" t="s">
        <v>42</v>
      </c>
      <c r="AB382" s="9"/>
      <c r="AC382" s="9"/>
    </row>
    <row r="383" spans="1:29" ht="22.5" customHeight="1">
      <c r="A383" s="9" t="s">
        <v>29</v>
      </c>
      <c r="B383" s="9" t="s">
        <v>767</v>
      </c>
      <c r="C383" s="9"/>
      <c r="D383" s="9" t="s">
        <v>31</v>
      </c>
      <c r="E383" s="9" t="s">
        <v>44</v>
      </c>
      <c r="F383" s="9" t="s">
        <v>33</v>
      </c>
      <c r="G383" s="9" t="s">
        <v>34</v>
      </c>
      <c r="H383" s="10"/>
      <c r="I383" s="9"/>
      <c r="J383" s="9" t="s">
        <v>49</v>
      </c>
      <c r="K383" s="9"/>
      <c r="L383" s="9"/>
      <c r="M383" s="10" t="s">
        <v>768</v>
      </c>
      <c r="N383" s="10" t="str">
        <f>IFERROR(VLOOKUP(M383,[1]DESC!A:B,2,FALSE),"")</f>
        <v/>
      </c>
      <c r="O383" s="9"/>
      <c r="P383" s="9"/>
      <c r="Q383" s="9"/>
      <c r="R383" s="9"/>
      <c r="S383" s="9"/>
      <c r="T383" s="11"/>
      <c r="U383" s="12" t="s">
        <v>57</v>
      </c>
      <c r="V383" s="12" t="s">
        <v>47</v>
      </c>
      <c r="W383" s="9">
        <v>10</v>
      </c>
      <c r="X383" s="9" t="s">
        <v>39</v>
      </c>
      <c r="Y383" s="9" t="s">
        <v>40</v>
      </c>
      <c r="Z383" s="9" t="s">
        <v>41</v>
      </c>
      <c r="AA383" s="9" t="s">
        <v>42</v>
      </c>
      <c r="AB383" s="9"/>
      <c r="AC383" s="9"/>
    </row>
    <row r="384" spans="1:29" ht="22.5" customHeight="1">
      <c r="A384" s="9" t="s">
        <v>29</v>
      </c>
      <c r="B384" s="9" t="s">
        <v>767</v>
      </c>
      <c r="C384" s="9"/>
      <c r="D384" s="9" t="s">
        <v>31</v>
      </c>
      <c r="E384" s="9" t="s">
        <v>44</v>
      </c>
      <c r="F384" s="9" t="s">
        <v>33</v>
      </c>
      <c r="G384" s="9" t="s">
        <v>34</v>
      </c>
      <c r="H384" s="10"/>
      <c r="I384" s="9"/>
      <c r="J384" s="9" t="s">
        <v>49</v>
      </c>
      <c r="K384" s="9"/>
      <c r="L384" s="9"/>
      <c r="M384" s="10" t="s">
        <v>768</v>
      </c>
      <c r="N384" s="10" t="str">
        <f>IFERROR(VLOOKUP(M384,[1]DESC!A:B,2,FALSE),"")</f>
        <v/>
      </c>
      <c r="O384" s="9"/>
      <c r="P384" s="9"/>
      <c r="Q384" s="9"/>
      <c r="R384" s="9"/>
      <c r="S384" s="9"/>
      <c r="T384" s="11"/>
      <c r="U384" s="12" t="s">
        <v>57</v>
      </c>
      <c r="V384" s="12" t="s">
        <v>47</v>
      </c>
      <c r="W384" s="9">
        <v>10</v>
      </c>
      <c r="X384" s="9" t="s">
        <v>39</v>
      </c>
      <c r="Y384" s="9" t="s">
        <v>40</v>
      </c>
      <c r="Z384" s="9" t="s">
        <v>41</v>
      </c>
      <c r="AA384" s="9" t="s">
        <v>42</v>
      </c>
      <c r="AB384" s="9"/>
      <c r="AC384" s="9"/>
    </row>
    <row r="385" spans="1:29" ht="22.5" customHeight="1">
      <c r="A385" s="9" t="s">
        <v>29</v>
      </c>
      <c r="B385" s="9" t="s">
        <v>769</v>
      </c>
      <c r="C385" s="9"/>
      <c r="D385" s="9" t="s">
        <v>31</v>
      </c>
      <c r="E385" s="9" t="s">
        <v>44</v>
      </c>
      <c r="F385" s="9" t="s">
        <v>33</v>
      </c>
      <c r="G385" s="9" t="s">
        <v>34</v>
      </c>
      <c r="H385" s="10"/>
      <c r="I385" s="9"/>
      <c r="J385" s="9" t="s">
        <v>49</v>
      </c>
      <c r="K385" s="9"/>
      <c r="L385" s="9"/>
      <c r="M385" s="10" t="s">
        <v>770</v>
      </c>
      <c r="N385" s="10" t="str">
        <f>IFERROR(VLOOKUP(M385,[1]DESC!A:B,2,FALSE),"")</f>
        <v/>
      </c>
      <c r="O385" s="9"/>
      <c r="P385" s="9"/>
      <c r="Q385" s="9"/>
      <c r="R385" s="9"/>
      <c r="S385" s="9"/>
      <c r="T385" s="11"/>
      <c r="U385" s="12" t="s">
        <v>57</v>
      </c>
      <c r="V385" s="12" t="s">
        <v>47</v>
      </c>
      <c r="W385" s="9">
        <v>10</v>
      </c>
      <c r="X385" s="9" t="s">
        <v>39</v>
      </c>
      <c r="Y385" s="9" t="s">
        <v>40</v>
      </c>
      <c r="Z385" s="9" t="s">
        <v>41</v>
      </c>
      <c r="AA385" s="9" t="s">
        <v>42</v>
      </c>
      <c r="AB385" s="9"/>
      <c r="AC385" s="9"/>
    </row>
    <row r="386" spans="1:29" ht="22.5" customHeight="1">
      <c r="A386" s="9" t="s">
        <v>29</v>
      </c>
      <c r="B386" s="9" t="s">
        <v>771</v>
      </c>
      <c r="C386" s="9"/>
      <c r="D386" s="9" t="s">
        <v>31</v>
      </c>
      <c r="E386" s="9" t="s">
        <v>32</v>
      </c>
      <c r="F386" s="9" t="s">
        <v>33</v>
      </c>
      <c r="G386" s="9" t="s">
        <v>34</v>
      </c>
      <c r="H386" s="10"/>
      <c r="I386" s="9"/>
      <c r="J386" s="9" t="s">
        <v>49</v>
      </c>
      <c r="K386" s="9"/>
      <c r="L386" s="9"/>
      <c r="M386" s="10" t="s">
        <v>772</v>
      </c>
      <c r="N386" s="10" t="str">
        <f>IFERROR(VLOOKUP(M386,[1]DESC!A:B,2,FALSE),"")</f>
        <v xml:space="preserve">  COUNTRY RISK  
 It : La metrica monitora l’esposizione totale nei confronti degli stati sovrani suddivisa per Paese. 
 En : The metric monitors the total exposure to sovereign states broken down by country. </v>
      </c>
      <c r="O386" s="9"/>
      <c r="P386" s="9"/>
      <c r="Q386" s="9"/>
      <c r="R386" s="9"/>
      <c r="S386" s="9"/>
      <c r="T386" s="11"/>
      <c r="U386" s="12" t="s">
        <v>37</v>
      </c>
      <c r="V386" s="12" t="s">
        <v>47</v>
      </c>
      <c r="W386" s="9">
        <v>10</v>
      </c>
      <c r="X386" s="9" t="s">
        <v>39</v>
      </c>
      <c r="Y386" s="9" t="s">
        <v>40</v>
      </c>
      <c r="Z386" s="9" t="s">
        <v>41</v>
      </c>
      <c r="AA386" s="9" t="s">
        <v>42</v>
      </c>
      <c r="AB386" s="9"/>
      <c r="AC386" s="9"/>
    </row>
    <row r="387" spans="1:29" ht="22.5" customHeight="1">
      <c r="A387" s="9" t="s">
        <v>141</v>
      </c>
      <c r="B387" s="9" t="s">
        <v>340</v>
      </c>
      <c r="C387" s="9" t="s">
        <v>113</v>
      </c>
      <c r="D387" s="9" t="s">
        <v>76</v>
      </c>
      <c r="E387" s="9" t="s">
        <v>44</v>
      </c>
      <c r="F387" s="9" t="s">
        <v>33</v>
      </c>
      <c r="G387" s="9">
        <v>2</v>
      </c>
      <c r="H387" s="10" t="s">
        <v>428</v>
      </c>
      <c r="I387" s="9"/>
      <c r="J387" s="9" t="s">
        <v>35</v>
      </c>
      <c r="K387" s="9"/>
      <c r="L387" s="9"/>
      <c r="M387" s="10" t="s">
        <v>773</v>
      </c>
      <c r="N387" s="10" t="str">
        <f>IFERROR(VLOOKUP(M387,[1]DESC!A:B,2,FALSE),"")</f>
        <v/>
      </c>
      <c r="O387" s="9" t="s">
        <v>116</v>
      </c>
      <c r="P387" s="9" t="s">
        <v>117</v>
      </c>
      <c r="Q387" s="9" t="s">
        <v>118</v>
      </c>
      <c r="R387" s="9" t="s">
        <v>214</v>
      </c>
      <c r="S387" s="9" t="s">
        <v>215</v>
      </c>
      <c r="T387" s="11" t="s">
        <v>216</v>
      </c>
      <c r="U387" s="12" t="s">
        <v>57</v>
      </c>
      <c r="V387" s="12" t="s">
        <v>218</v>
      </c>
      <c r="W387" s="9">
        <v>0</v>
      </c>
      <c r="X387" s="9" t="s">
        <v>214</v>
      </c>
      <c r="Y387" s="9" t="s">
        <v>215</v>
      </c>
      <c r="Z387" s="9" t="s">
        <v>216</v>
      </c>
      <c r="AA387" s="9" t="s">
        <v>219</v>
      </c>
      <c r="AB387" s="12" t="s">
        <v>182</v>
      </c>
      <c r="AC387" s="9">
        <v>95</v>
      </c>
    </row>
    <row r="388" spans="1:29" ht="22.5" customHeight="1">
      <c r="A388" s="9" t="s">
        <v>141</v>
      </c>
      <c r="B388" s="9" t="s">
        <v>340</v>
      </c>
      <c r="C388" s="9" t="s">
        <v>113</v>
      </c>
      <c r="D388" s="9" t="s">
        <v>76</v>
      </c>
      <c r="E388" s="9" t="s">
        <v>44</v>
      </c>
      <c r="F388" s="9" t="s">
        <v>33</v>
      </c>
      <c r="G388" s="9">
        <v>2</v>
      </c>
      <c r="H388" s="10" t="s">
        <v>337</v>
      </c>
      <c r="I388" s="9"/>
      <c r="J388" s="9" t="s">
        <v>35</v>
      </c>
      <c r="K388" s="9"/>
      <c r="L388" s="9"/>
      <c r="M388" s="10" t="s">
        <v>773</v>
      </c>
      <c r="N388" s="10" t="str">
        <f>IFERROR(VLOOKUP(M388,[1]DESC!A:B,2,FALSE),"")</f>
        <v/>
      </c>
      <c r="O388" s="9" t="s">
        <v>116</v>
      </c>
      <c r="P388" s="9" t="s">
        <v>117</v>
      </c>
      <c r="Q388" s="9" t="s">
        <v>118</v>
      </c>
      <c r="R388" s="9" t="s">
        <v>214</v>
      </c>
      <c r="S388" s="9" t="s">
        <v>215</v>
      </c>
      <c r="T388" s="11" t="s">
        <v>216</v>
      </c>
      <c r="U388" s="12" t="s">
        <v>57</v>
      </c>
      <c r="V388" s="12" t="s">
        <v>218</v>
      </c>
      <c r="W388" s="9">
        <v>0</v>
      </c>
      <c r="X388" s="9" t="s">
        <v>214</v>
      </c>
      <c r="Y388" s="9" t="s">
        <v>215</v>
      </c>
      <c r="Z388" s="9" t="s">
        <v>216</v>
      </c>
      <c r="AA388" s="9" t="s">
        <v>219</v>
      </c>
      <c r="AB388" s="12" t="s">
        <v>182</v>
      </c>
      <c r="AC388" s="9">
        <v>95</v>
      </c>
    </row>
    <row r="389" spans="1:29" ht="22.5" customHeight="1">
      <c r="A389" s="9" t="s">
        <v>141</v>
      </c>
      <c r="B389" s="9" t="s">
        <v>291</v>
      </c>
      <c r="C389" s="9" t="s">
        <v>113</v>
      </c>
      <c r="D389" s="9" t="s">
        <v>76</v>
      </c>
      <c r="E389" s="9" t="s">
        <v>44</v>
      </c>
      <c r="F389" s="9" t="s">
        <v>33</v>
      </c>
      <c r="G389" s="9">
        <v>2</v>
      </c>
      <c r="H389" s="10" t="s">
        <v>143</v>
      </c>
      <c r="I389" s="9"/>
      <c r="J389" s="9" t="s">
        <v>35</v>
      </c>
      <c r="K389" s="9"/>
      <c r="L389" s="9"/>
      <c r="M389" s="10" t="s">
        <v>774</v>
      </c>
      <c r="N389" s="10" t="str">
        <f>IFERROR(VLOOKUP(M389,[1]DESC!A:B,2,FALSE),"")</f>
        <v/>
      </c>
      <c r="O389" s="9" t="s">
        <v>116</v>
      </c>
      <c r="P389" s="9" t="s">
        <v>117</v>
      </c>
      <c r="Q389" s="9" t="s">
        <v>118</v>
      </c>
      <c r="R389" s="9" t="s">
        <v>146</v>
      </c>
      <c r="S389" s="9" t="s">
        <v>147</v>
      </c>
      <c r="T389" s="11" t="s">
        <v>148</v>
      </c>
      <c r="U389" s="12" t="s">
        <v>57</v>
      </c>
      <c r="V389" s="12" t="s">
        <v>150</v>
      </c>
      <c r="W389" s="9">
        <v>0</v>
      </c>
      <c r="X389" s="9" t="s">
        <v>146</v>
      </c>
      <c r="Y389" s="9" t="s">
        <v>147</v>
      </c>
      <c r="Z389" s="9" t="s">
        <v>148</v>
      </c>
      <c r="AA389" s="9" t="s">
        <v>151</v>
      </c>
      <c r="AB389" s="12" t="s">
        <v>136</v>
      </c>
      <c r="AC389" s="9">
        <v>66</v>
      </c>
    </row>
    <row r="390" spans="1:29" ht="22.5" customHeight="1">
      <c r="A390" s="9" t="s">
        <v>141</v>
      </c>
      <c r="B390" s="9" t="s">
        <v>291</v>
      </c>
      <c r="C390" s="9" t="s">
        <v>113</v>
      </c>
      <c r="D390" s="9" t="s">
        <v>76</v>
      </c>
      <c r="E390" s="9" t="s">
        <v>44</v>
      </c>
      <c r="F390" s="9" t="s">
        <v>33</v>
      </c>
      <c r="G390" s="9">
        <v>2</v>
      </c>
      <c r="H390" s="10" t="s">
        <v>159</v>
      </c>
      <c r="I390" s="9"/>
      <c r="J390" s="9" t="s">
        <v>35</v>
      </c>
      <c r="K390" s="9"/>
      <c r="L390" s="9"/>
      <c r="M390" s="10" t="s">
        <v>774</v>
      </c>
      <c r="N390" s="10" t="str">
        <f>IFERROR(VLOOKUP(M390,[1]DESC!A:B,2,FALSE),"")</f>
        <v/>
      </c>
      <c r="O390" s="9" t="s">
        <v>116</v>
      </c>
      <c r="P390" s="9" t="s">
        <v>117</v>
      </c>
      <c r="Q390" s="9" t="s">
        <v>118</v>
      </c>
      <c r="R390" s="9" t="s">
        <v>146</v>
      </c>
      <c r="S390" s="9" t="s">
        <v>147</v>
      </c>
      <c r="T390" s="11" t="s">
        <v>148</v>
      </c>
      <c r="U390" s="12" t="s">
        <v>57</v>
      </c>
      <c r="V390" s="12" t="s">
        <v>150</v>
      </c>
      <c r="W390" s="9">
        <v>0</v>
      </c>
      <c r="X390" s="9" t="s">
        <v>146</v>
      </c>
      <c r="Y390" s="9" t="s">
        <v>147</v>
      </c>
      <c r="Z390" s="9" t="s">
        <v>148</v>
      </c>
      <c r="AA390" s="9" t="s">
        <v>151</v>
      </c>
      <c r="AB390" s="12" t="s">
        <v>136</v>
      </c>
      <c r="AC390" s="9">
        <v>66</v>
      </c>
    </row>
    <row r="391" spans="1:29" ht="22.5" customHeight="1">
      <c r="A391" s="9" t="s">
        <v>29</v>
      </c>
      <c r="B391" s="9" t="s">
        <v>775</v>
      </c>
      <c r="C391" s="9"/>
      <c r="D391" s="9" t="s">
        <v>31</v>
      </c>
      <c r="E391" s="9" t="s">
        <v>167</v>
      </c>
      <c r="F391" s="9" t="s">
        <v>33</v>
      </c>
      <c r="G391" s="9" t="s">
        <v>34</v>
      </c>
      <c r="H391" s="10"/>
      <c r="I391" s="9"/>
      <c r="J391" s="9" t="s">
        <v>49</v>
      </c>
      <c r="K391" s="9"/>
      <c r="L391" s="9"/>
      <c r="M391" s="10" t="s">
        <v>776</v>
      </c>
      <c r="N391" s="10" t="str">
        <f>IFERROR(VLOOKUP(M391,[1]DESC!A:B,2,FALSE),"")</f>
        <v/>
      </c>
      <c r="O391" s="9"/>
      <c r="P391" s="9"/>
      <c r="Q391" s="9"/>
      <c r="R391" s="9"/>
      <c r="S391" s="9"/>
      <c r="T391" s="11"/>
      <c r="U391" s="12" t="s">
        <v>37</v>
      </c>
      <c r="V391" s="12" t="s">
        <v>53</v>
      </c>
      <c r="W391" s="9">
        <v>10</v>
      </c>
      <c r="X391" s="9" t="s">
        <v>39</v>
      </c>
      <c r="Y391" s="9" t="s">
        <v>40</v>
      </c>
      <c r="Z391" s="9" t="s">
        <v>41</v>
      </c>
      <c r="AA391" s="9" t="s">
        <v>42</v>
      </c>
      <c r="AB391" s="9"/>
      <c r="AC391" s="9"/>
    </row>
    <row r="392" spans="1:29" ht="22.5" customHeight="1">
      <c r="A392" s="9" t="s">
        <v>29</v>
      </c>
      <c r="B392" s="9" t="s">
        <v>777</v>
      </c>
      <c r="C392" s="9"/>
      <c r="D392" s="9" t="s">
        <v>31</v>
      </c>
      <c r="E392" s="9" t="s">
        <v>32</v>
      </c>
      <c r="F392" s="9" t="s">
        <v>33</v>
      </c>
      <c r="G392" s="9" t="s">
        <v>34</v>
      </c>
      <c r="H392" s="10"/>
      <c r="I392" s="9"/>
      <c r="J392" s="9" t="s">
        <v>49</v>
      </c>
      <c r="K392" s="9"/>
      <c r="L392" s="9" t="s">
        <v>50</v>
      </c>
      <c r="M392" s="10" t="s">
        <v>778</v>
      </c>
      <c r="N392" s="10" t="str">
        <f>IFERROR(VLOOKUP(M392,[1]DESC!A:B,2,FALSE),"")</f>
        <v/>
      </c>
      <c r="O392" s="9"/>
      <c r="P392" s="9"/>
      <c r="Q392" s="9"/>
      <c r="R392" s="9"/>
      <c r="S392" s="9"/>
      <c r="T392" s="11"/>
      <c r="U392" s="12" t="s">
        <v>206</v>
      </c>
      <c r="V392" s="12" t="s">
        <v>52</v>
      </c>
      <c r="W392" s="9">
        <v>10</v>
      </c>
      <c r="X392" s="9" t="s">
        <v>39</v>
      </c>
      <c r="Y392" s="9" t="s">
        <v>40</v>
      </c>
      <c r="Z392" s="9" t="s">
        <v>41</v>
      </c>
      <c r="AA392" s="9" t="s">
        <v>42</v>
      </c>
      <c r="AB392" s="9"/>
      <c r="AC392" s="9"/>
    </row>
    <row r="393" spans="1:29" ht="22.5" customHeight="1">
      <c r="A393" s="9" t="s">
        <v>29</v>
      </c>
      <c r="B393" s="9" t="s">
        <v>779</v>
      </c>
      <c r="C393" s="9"/>
      <c r="D393" s="9" t="s">
        <v>31</v>
      </c>
      <c r="E393" s="9" t="s">
        <v>44</v>
      </c>
      <c r="F393" s="9" t="s">
        <v>33</v>
      </c>
      <c r="G393" s="9" t="s">
        <v>34</v>
      </c>
      <c r="H393" s="10"/>
      <c r="I393" s="9"/>
      <c r="J393" s="9" t="s">
        <v>49</v>
      </c>
      <c r="K393" s="9"/>
      <c r="L393" s="9"/>
      <c r="M393" s="10" t="s">
        <v>780</v>
      </c>
      <c r="N393" s="10" t="str">
        <f>IFERROR(VLOOKUP(M393,[1]DESC!A:B,2,FALSE),"")</f>
        <v/>
      </c>
      <c r="O393" s="9"/>
      <c r="P393" s="9"/>
      <c r="Q393" s="9"/>
      <c r="R393" s="9"/>
      <c r="S393" s="9"/>
      <c r="T393" s="11"/>
      <c r="U393" s="12" t="s">
        <v>37</v>
      </c>
      <c r="V393" s="12" t="s">
        <v>47</v>
      </c>
      <c r="W393" s="9">
        <v>10</v>
      </c>
      <c r="X393" s="9" t="s">
        <v>39</v>
      </c>
      <c r="Y393" s="9" t="s">
        <v>40</v>
      </c>
      <c r="Z393" s="9" t="s">
        <v>41</v>
      </c>
      <c r="AA393" s="9" t="s">
        <v>42</v>
      </c>
      <c r="AB393" s="9"/>
      <c r="AC393" s="9"/>
    </row>
    <row r="394" spans="1:29" ht="22.5" customHeight="1">
      <c r="A394" s="9" t="s">
        <v>29</v>
      </c>
      <c r="B394" s="9" t="s">
        <v>159</v>
      </c>
      <c r="C394" s="9"/>
      <c r="D394" s="9" t="s">
        <v>31</v>
      </c>
      <c r="E394" s="9" t="s">
        <v>32</v>
      </c>
      <c r="F394" s="9" t="s">
        <v>33</v>
      </c>
      <c r="G394" s="9" t="s">
        <v>34</v>
      </c>
      <c r="H394" s="10" t="s">
        <v>781</v>
      </c>
      <c r="I394" s="9" t="s">
        <v>434</v>
      </c>
      <c r="J394" s="9" t="s">
        <v>35</v>
      </c>
      <c r="K394" s="9"/>
      <c r="L394" s="9"/>
      <c r="M394" s="10" t="s">
        <v>782</v>
      </c>
      <c r="N394" s="10" t="str">
        <f>IFERROR(VLOOKUP(M394,[1]DESC!A:B,2,FALSE),"")</f>
        <v/>
      </c>
      <c r="O394" s="9"/>
      <c r="P394" s="9"/>
      <c r="Q394" s="9"/>
      <c r="R394" s="9"/>
      <c r="S394" s="9"/>
      <c r="T394" s="11"/>
      <c r="U394" s="12" t="s">
        <v>149</v>
      </c>
      <c r="V394" s="12" t="s">
        <v>170</v>
      </c>
      <c r="W394" s="9">
        <v>10</v>
      </c>
      <c r="X394" s="9" t="s">
        <v>39</v>
      </c>
      <c r="Y394" s="9" t="s">
        <v>40</v>
      </c>
      <c r="Z394" s="9" t="s">
        <v>41</v>
      </c>
      <c r="AA394" s="9" t="s">
        <v>42</v>
      </c>
      <c r="AB394" s="9"/>
      <c r="AC394" s="9"/>
    </row>
    <row r="395" spans="1:29" ht="22.5" customHeight="1">
      <c r="A395" s="9" t="s">
        <v>29</v>
      </c>
      <c r="B395" s="9" t="s">
        <v>159</v>
      </c>
      <c r="C395" s="9"/>
      <c r="D395" s="9" t="s">
        <v>31</v>
      </c>
      <c r="E395" s="9" t="s">
        <v>32</v>
      </c>
      <c r="F395" s="9" t="s">
        <v>33</v>
      </c>
      <c r="G395" s="9" t="s">
        <v>34</v>
      </c>
      <c r="H395" s="10" t="s">
        <v>783</v>
      </c>
      <c r="I395" s="9" t="s">
        <v>291</v>
      </c>
      <c r="J395" s="9" t="s">
        <v>35</v>
      </c>
      <c r="K395" s="9"/>
      <c r="L395" s="9"/>
      <c r="M395" s="10" t="s">
        <v>782</v>
      </c>
      <c r="N395" s="10" t="str">
        <f>IFERROR(VLOOKUP(M395,[1]DESC!A:B,2,FALSE),"")</f>
        <v/>
      </c>
      <c r="O395" s="9"/>
      <c r="P395" s="9"/>
      <c r="Q395" s="9"/>
      <c r="R395" s="9"/>
      <c r="S395" s="9"/>
      <c r="T395" s="11"/>
      <c r="U395" s="12" t="s">
        <v>149</v>
      </c>
      <c r="V395" s="12" t="s">
        <v>170</v>
      </c>
      <c r="W395" s="9">
        <v>10</v>
      </c>
      <c r="X395" s="9" t="s">
        <v>39</v>
      </c>
      <c r="Y395" s="9" t="s">
        <v>40</v>
      </c>
      <c r="Z395" s="9" t="s">
        <v>41</v>
      </c>
      <c r="AA395" s="9" t="s">
        <v>42</v>
      </c>
      <c r="AB395" s="9"/>
      <c r="AC395" s="9"/>
    </row>
    <row r="396" spans="1:29" ht="22.5" customHeight="1">
      <c r="A396" s="9" t="s">
        <v>29</v>
      </c>
      <c r="B396" s="9" t="s">
        <v>159</v>
      </c>
      <c r="C396" s="9"/>
      <c r="D396" s="9" t="s">
        <v>31</v>
      </c>
      <c r="E396" s="9" t="s">
        <v>32</v>
      </c>
      <c r="F396" s="9" t="s">
        <v>33</v>
      </c>
      <c r="G396" s="9" t="s">
        <v>34</v>
      </c>
      <c r="H396" s="10" t="s">
        <v>784</v>
      </c>
      <c r="I396" s="9" t="s">
        <v>153</v>
      </c>
      <c r="J396" s="9" t="s">
        <v>35</v>
      </c>
      <c r="K396" s="9"/>
      <c r="L396" s="9"/>
      <c r="M396" s="10" t="s">
        <v>782</v>
      </c>
      <c r="N396" s="10" t="str">
        <f>IFERROR(VLOOKUP(M396,[1]DESC!A:B,2,FALSE),"")</f>
        <v/>
      </c>
      <c r="O396" s="9"/>
      <c r="P396" s="9"/>
      <c r="Q396" s="9"/>
      <c r="R396" s="9"/>
      <c r="S396" s="9"/>
      <c r="T396" s="11"/>
      <c r="U396" s="12" t="s">
        <v>149</v>
      </c>
      <c r="V396" s="12" t="s">
        <v>170</v>
      </c>
      <c r="W396" s="9">
        <v>10</v>
      </c>
      <c r="X396" s="9" t="s">
        <v>39</v>
      </c>
      <c r="Y396" s="9" t="s">
        <v>40</v>
      </c>
      <c r="Z396" s="9" t="s">
        <v>41</v>
      </c>
      <c r="AA396" s="9" t="s">
        <v>42</v>
      </c>
      <c r="AB396" s="9"/>
      <c r="AC396" s="9"/>
    </row>
    <row r="397" spans="1:29" ht="22.5" customHeight="1">
      <c r="A397" s="9" t="s">
        <v>29</v>
      </c>
      <c r="B397" s="9" t="s">
        <v>785</v>
      </c>
      <c r="C397" s="9"/>
      <c r="D397" s="9" t="s">
        <v>31</v>
      </c>
      <c r="E397" s="9" t="s">
        <v>44</v>
      </c>
      <c r="F397" s="9" t="s">
        <v>33</v>
      </c>
      <c r="G397" s="9" t="s">
        <v>34</v>
      </c>
      <c r="H397" s="10" t="s">
        <v>786</v>
      </c>
      <c r="I397" s="9"/>
      <c r="J397" s="9" t="s">
        <v>35</v>
      </c>
      <c r="K397" s="9"/>
      <c r="L397" s="9"/>
      <c r="M397" s="10" t="s">
        <v>787</v>
      </c>
      <c r="N397" s="10" t="str">
        <f>IFERROR(VLOOKUP(M397,[1]DESC!A:B,2,FALSE),"")</f>
        <v/>
      </c>
      <c r="O397" s="9"/>
      <c r="P397" s="9"/>
      <c r="Q397" s="9"/>
      <c r="R397" s="9"/>
      <c r="S397" s="9"/>
      <c r="T397" s="11"/>
      <c r="U397" s="12" t="s">
        <v>57</v>
      </c>
      <c r="V397" s="12" t="s">
        <v>438</v>
      </c>
      <c r="W397" s="9">
        <v>10</v>
      </c>
      <c r="X397" s="9" t="s">
        <v>39</v>
      </c>
      <c r="Y397" s="9" t="s">
        <v>40</v>
      </c>
      <c r="Z397" s="9" t="s">
        <v>41</v>
      </c>
      <c r="AA397" s="9" t="s">
        <v>42</v>
      </c>
      <c r="AB397" s="9"/>
      <c r="AC397" s="9"/>
    </row>
    <row r="398" spans="1:29" ht="22.5" customHeight="1">
      <c r="A398" s="9" t="s">
        <v>29</v>
      </c>
      <c r="B398" s="9" t="s">
        <v>785</v>
      </c>
      <c r="C398" s="9"/>
      <c r="D398" s="9" t="s">
        <v>31</v>
      </c>
      <c r="E398" s="9" t="s">
        <v>44</v>
      </c>
      <c r="F398" s="9" t="s">
        <v>33</v>
      </c>
      <c r="G398" s="9" t="s">
        <v>34</v>
      </c>
      <c r="H398" s="10" t="s">
        <v>58</v>
      </c>
      <c r="I398" s="9"/>
      <c r="J398" s="9" t="s">
        <v>35</v>
      </c>
      <c r="K398" s="9"/>
      <c r="L398" s="9"/>
      <c r="M398" s="10" t="s">
        <v>787</v>
      </c>
      <c r="N398" s="10" t="str">
        <f>IFERROR(VLOOKUP(M398,[1]DESC!A:B,2,FALSE),"")</f>
        <v/>
      </c>
      <c r="O398" s="9"/>
      <c r="P398" s="9"/>
      <c r="Q398" s="9"/>
      <c r="R398" s="9"/>
      <c r="S398" s="9"/>
      <c r="T398" s="11"/>
      <c r="U398" s="12" t="s">
        <v>57</v>
      </c>
      <c r="V398" s="12" t="s">
        <v>438</v>
      </c>
      <c r="W398" s="9">
        <v>10</v>
      </c>
      <c r="X398" s="9" t="s">
        <v>39</v>
      </c>
      <c r="Y398" s="9" t="s">
        <v>40</v>
      </c>
      <c r="Z398" s="9" t="s">
        <v>41</v>
      </c>
      <c r="AA398" s="9" t="s">
        <v>42</v>
      </c>
      <c r="AB398" s="9"/>
      <c r="AC398" s="9"/>
    </row>
    <row r="399" spans="1:29">
      <c r="H399" s="3"/>
    </row>
  </sheetData>
  <autoFilter ref="A1:AC398" xr:uid="{00000000-0001-0000-0000-000000000000}"/>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439"/>
  <sheetViews>
    <sheetView topLeftCell="A366" workbookViewId="0">
      <selection activeCell="G18" sqref="G18"/>
    </sheetView>
  </sheetViews>
  <sheetFormatPr defaultRowHeight="14.45"/>
  <cols>
    <col min="1" max="1" width="55.85546875" customWidth="1"/>
    <col min="2" max="2" width="27.7109375" customWidth="1"/>
    <col min="3" max="3" width="49" customWidth="1"/>
    <col min="4" max="4" width="9.7109375" hidden="1" customWidth="1"/>
    <col min="5" max="5" width="10.85546875" customWidth="1"/>
    <col min="6" max="6" width="47.140625" customWidth="1"/>
    <col min="7" max="7" width="76.28515625" customWidth="1"/>
  </cols>
  <sheetData>
    <row r="1" spans="1:7">
      <c r="A1" s="1" t="s">
        <v>788</v>
      </c>
      <c r="B1" s="1" t="s">
        <v>789</v>
      </c>
      <c r="C1" s="1" t="s">
        <v>790</v>
      </c>
      <c r="D1" s="1" t="s">
        <v>791</v>
      </c>
      <c r="E1" s="1" t="s">
        <v>792</v>
      </c>
      <c r="F1" s="1" t="s">
        <v>793</v>
      </c>
      <c r="G1" s="1" t="s">
        <v>794</v>
      </c>
    </row>
    <row r="2" spans="1:7">
      <c r="A2" t="s">
        <v>795</v>
      </c>
      <c r="B2" t="s">
        <v>796</v>
      </c>
      <c r="C2" t="s">
        <v>797</v>
      </c>
      <c r="F2" t="s">
        <v>798</v>
      </c>
      <c r="G2" t="s">
        <v>799</v>
      </c>
    </row>
    <row r="3" spans="1:7">
      <c r="A3" t="s">
        <v>800</v>
      </c>
      <c r="B3" t="s">
        <v>796</v>
      </c>
      <c r="C3" t="s">
        <v>801</v>
      </c>
      <c r="F3" t="s">
        <v>798</v>
      </c>
      <c r="G3" t="s">
        <v>799</v>
      </c>
    </row>
    <row r="4" spans="1:7">
      <c r="A4" t="s">
        <v>802</v>
      </c>
      <c r="B4" t="s">
        <v>796</v>
      </c>
      <c r="C4" t="s">
        <v>803</v>
      </c>
      <c r="F4" t="s">
        <v>798</v>
      </c>
      <c r="G4" t="s">
        <v>799</v>
      </c>
    </row>
    <row r="5" spans="1:7">
      <c r="A5" t="s">
        <v>804</v>
      </c>
      <c r="B5" t="s">
        <v>796</v>
      </c>
      <c r="C5" t="s">
        <v>805</v>
      </c>
      <c r="F5" t="s">
        <v>798</v>
      </c>
      <c r="G5" t="s">
        <v>799</v>
      </c>
    </row>
    <row r="6" spans="1:7">
      <c r="A6" t="s">
        <v>806</v>
      </c>
      <c r="B6" t="s">
        <v>796</v>
      </c>
      <c r="C6" t="s">
        <v>807</v>
      </c>
      <c r="F6" t="s">
        <v>808</v>
      </c>
      <c r="G6" t="s">
        <v>809</v>
      </c>
    </row>
    <row r="7" spans="1:7">
      <c r="A7" t="s">
        <v>810</v>
      </c>
      <c r="B7" t="s">
        <v>796</v>
      </c>
      <c r="C7" t="s">
        <v>811</v>
      </c>
      <c r="F7" t="s">
        <v>812</v>
      </c>
      <c r="G7" t="s">
        <v>809</v>
      </c>
    </row>
    <row r="8" spans="1:7">
      <c r="A8" t="s">
        <v>813</v>
      </c>
      <c r="B8" t="s">
        <v>796</v>
      </c>
      <c r="C8" t="s">
        <v>814</v>
      </c>
      <c r="F8" t="s">
        <v>815</v>
      </c>
      <c r="G8" t="s">
        <v>816</v>
      </c>
    </row>
    <row r="9" spans="1:7">
      <c r="A9" t="s">
        <v>817</v>
      </c>
      <c r="B9" t="s">
        <v>796</v>
      </c>
      <c r="C9" t="s">
        <v>814</v>
      </c>
      <c r="F9" t="s">
        <v>818</v>
      </c>
      <c r="G9" t="s">
        <v>819</v>
      </c>
    </row>
    <row r="10" spans="1:7">
      <c r="A10" t="s">
        <v>820</v>
      </c>
      <c r="B10" t="s">
        <v>796</v>
      </c>
      <c r="C10" t="s">
        <v>821</v>
      </c>
      <c r="F10" t="s">
        <v>822</v>
      </c>
      <c r="G10" t="s">
        <v>809</v>
      </c>
    </row>
    <row r="11" spans="1:7">
      <c r="A11" t="s">
        <v>823</v>
      </c>
      <c r="B11" t="s">
        <v>796</v>
      </c>
      <c r="C11" t="s">
        <v>824</v>
      </c>
      <c r="F11" t="s">
        <v>825</v>
      </c>
      <c r="G11" t="s">
        <v>809</v>
      </c>
    </row>
    <row r="12" spans="1:7">
      <c r="A12" t="s">
        <v>826</v>
      </c>
      <c r="B12" t="s">
        <v>796</v>
      </c>
      <c r="C12" t="s">
        <v>827</v>
      </c>
      <c r="F12" t="s">
        <v>815</v>
      </c>
      <c r="G12" t="s">
        <v>816</v>
      </c>
    </row>
    <row r="13" spans="1:7">
      <c r="A13" t="s">
        <v>828</v>
      </c>
      <c r="B13" t="s">
        <v>796</v>
      </c>
      <c r="C13" t="s">
        <v>829</v>
      </c>
      <c r="F13" t="s">
        <v>798</v>
      </c>
      <c r="G13" t="s">
        <v>799</v>
      </c>
    </row>
    <row r="14" spans="1:7">
      <c r="A14" t="s">
        <v>830</v>
      </c>
      <c r="B14" t="s">
        <v>796</v>
      </c>
      <c r="C14" t="s">
        <v>831</v>
      </c>
      <c r="F14" t="s">
        <v>832</v>
      </c>
      <c r="G14" t="s">
        <v>833</v>
      </c>
    </row>
    <row r="15" spans="1:7">
      <c r="A15" t="s">
        <v>830</v>
      </c>
      <c r="B15" t="s">
        <v>796</v>
      </c>
      <c r="C15" t="s">
        <v>834</v>
      </c>
      <c r="F15" t="s">
        <v>832</v>
      </c>
      <c r="G15" t="s">
        <v>833</v>
      </c>
    </row>
    <row r="16" spans="1:7">
      <c r="A16" t="s">
        <v>835</v>
      </c>
      <c r="B16" t="s">
        <v>796</v>
      </c>
      <c r="C16" t="s">
        <v>836</v>
      </c>
      <c r="F16" t="s">
        <v>798</v>
      </c>
      <c r="G16" t="s">
        <v>799</v>
      </c>
    </row>
    <row r="17" spans="1:7">
      <c r="A17" t="s">
        <v>837</v>
      </c>
      <c r="B17" t="s">
        <v>796</v>
      </c>
      <c r="C17" t="s">
        <v>838</v>
      </c>
      <c r="F17" t="s">
        <v>839</v>
      </c>
      <c r="G17" t="s">
        <v>840</v>
      </c>
    </row>
    <row r="18" spans="1:7">
      <c r="A18" t="s">
        <v>841</v>
      </c>
      <c r="B18" t="s">
        <v>796</v>
      </c>
      <c r="C18" t="s">
        <v>153</v>
      </c>
      <c r="E18" t="s">
        <v>842</v>
      </c>
      <c r="F18" t="s">
        <v>843</v>
      </c>
      <c r="G18" t="s">
        <v>844</v>
      </c>
    </row>
    <row r="19" spans="1:7">
      <c r="A19" t="s">
        <v>841</v>
      </c>
      <c r="B19" t="s">
        <v>796</v>
      </c>
      <c r="C19" t="s">
        <v>143</v>
      </c>
      <c r="E19" t="s">
        <v>842</v>
      </c>
      <c r="F19" t="s">
        <v>843</v>
      </c>
      <c r="G19" t="s">
        <v>844</v>
      </c>
    </row>
    <row r="20" spans="1:7">
      <c r="A20" t="s">
        <v>841</v>
      </c>
      <c r="B20" t="s">
        <v>796</v>
      </c>
      <c r="C20" t="s">
        <v>159</v>
      </c>
      <c r="E20" t="s">
        <v>842</v>
      </c>
      <c r="F20" t="s">
        <v>843</v>
      </c>
      <c r="G20" t="s">
        <v>844</v>
      </c>
    </row>
    <row r="21" spans="1:7">
      <c r="A21" t="s">
        <v>845</v>
      </c>
      <c r="B21" t="s">
        <v>796</v>
      </c>
      <c r="C21" t="s">
        <v>153</v>
      </c>
      <c r="E21" t="s">
        <v>842</v>
      </c>
      <c r="F21" t="s">
        <v>846</v>
      </c>
      <c r="G21" t="s">
        <v>844</v>
      </c>
    </row>
    <row r="22" spans="1:7">
      <c r="A22" t="s">
        <v>845</v>
      </c>
      <c r="B22" t="s">
        <v>796</v>
      </c>
      <c r="C22" t="s">
        <v>143</v>
      </c>
      <c r="E22" t="s">
        <v>842</v>
      </c>
      <c r="F22" t="s">
        <v>846</v>
      </c>
      <c r="G22" t="s">
        <v>844</v>
      </c>
    </row>
    <row r="23" spans="1:7">
      <c r="A23" t="s">
        <v>845</v>
      </c>
      <c r="B23" t="s">
        <v>796</v>
      </c>
      <c r="C23" t="s">
        <v>159</v>
      </c>
      <c r="E23" t="s">
        <v>842</v>
      </c>
      <c r="F23" t="s">
        <v>846</v>
      </c>
      <c r="G23" t="s">
        <v>844</v>
      </c>
    </row>
    <row r="24" spans="1:7">
      <c r="A24" t="s">
        <v>847</v>
      </c>
      <c r="B24" t="s">
        <v>796</v>
      </c>
      <c r="C24" t="s">
        <v>153</v>
      </c>
      <c r="E24" t="s">
        <v>842</v>
      </c>
      <c r="F24" t="s">
        <v>848</v>
      </c>
      <c r="G24" t="s">
        <v>844</v>
      </c>
    </row>
    <row r="25" spans="1:7">
      <c r="A25" t="s">
        <v>847</v>
      </c>
      <c r="B25" t="s">
        <v>796</v>
      </c>
      <c r="C25" t="s">
        <v>143</v>
      </c>
      <c r="E25" t="s">
        <v>842</v>
      </c>
      <c r="F25" t="s">
        <v>848</v>
      </c>
      <c r="G25" t="s">
        <v>844</v>
      </c>
    </row>
    <row r="26" spans="1:7">
      <c r="A26" t="s">
        <v>847</v>
      </c>
      <c r="B26" t="s">
        <v>796</v>
      </c>
      <c r="C26" t="s">
        <v>159</v>
      </c>
      <c r="E26" t="s">
        <v>842</v>
      </c>
      <c r="F26" t="s">
        <v>848</v>
      </c>
      <c r="G26" t="s">
        <v>844</v>
      </c>
    </row>
    <row r="27" spans="1:7">
      <c r="A27" t="s">
        <v>849</v>
      </c>
      <c r="B27" t="s">
        <v>796</v>
      </c>
      <c r="C27" t="s">
        <v>153</v>
      </c>
      <c r="E27" t="s">
        <v>842</v>
      </c>
      <c r="F27" t="s">
        <v>850</v>
      </c>
      <c r="G27" t="s">
        <v>844</v>
      </c>
    </row>
    <row r="28" spans="1:7">
      <c r="A28" t="s">
        <v>849</v>
      </c>
      <c r="B28" t="s">
        <v>796</v>
      </c>
      <c r="C28" t="s">
        <v>143</v>
      </c>
      <c r="E28" t="s">
        <v>842</v>
      </c>
      <c r="F28" t="s">
        <v>850</v>
      </c>
      <c r="G28" t="s">
        <v>844</v>
      </c>
    </row>
    <row r="29" spans="1:7">
      <c r="A29" t="s">
        <v>849</v>
      </c>
      <c r="B29" t="s">
        <v>796</v>
      </c>
      <c r="C29" t="s">
        <v>159</v>
      </c>
      <c r="E29" t="s">
        <v>842</v>
      </c>
      <c r="F29" t="s">
        <v>850</v>
      </c>
      <c r="G29" t="s">
        <v>844</v>
      </c>
    </row>
    <row r="30" spans="1:7">
      <c r="A30" t="s">
        <v>851</v>
      </c>
      <c r="B30" t="s">
        <v>796</v>
      </c>
      <c r="C30" t="s">
        <v>153</v>
      </c>
      <c r="E30" t="s">
        <v>842</v>
      </c>
      <c r="F30" t="s">
        <v>852</v>
      </c>
      <c r="G30" t="s">
        <v>844</v>
      </c>
    </row>
    <row r="31" spans="1:7">
      <c r="A31" t="s">
        <v>851</v>
      </c>
      <c r="B31" t="s">
        <v>796</v>
      </c>
      <c r="C31" t="s">
        <v>143</v>
      </c>
      <c r="E31" t="s">
        <v>842</v>
      </c>
      <c r="F31" t="s">
        <v>852</v>
      </c>
      <c r="G31" t="s">
        <v>844</v>
      </c>
    </row>
    <row r="32" spans="1:7">
      <c r="A32" t="s">
        <v>851</v>
      </c>
      <c r="B32" t="s">
        <v>796</v>
      </c>
      <c r="C32" t="s">
        <v>159</v>
      </c>
      <c r="E32" t="s">
        <v>842</v>
      </c>
      <c r="F32" t="s">
        <v>852</v>
      </c>
      <c r="G32" t="s">
        <v>844</v>
      </c>
    </row>
    <row r="33" spans="1:7">
      <c r="A33" t="s">
        <v>853</v>
      </c>
      <c r="B33" t="s">
        <v>796</v>
      </c>
      <c r="C33" t="s">
        <v>153</v>
      </c>
      <c r="E33" t="s">
        <v>854</v>
      </c>
      <c r="F33" t="s">
        <v>855</v>
      </c>
      <c r="G33" t="s">
        <v>856</v>
      </c>
    </row>
    <row r="34" spans="1:7">
      <c r="A34" t="s">
        <v>853</v>
      </c>
      <c r="B34" t="s">
        <v>796</v>
      </c>
      <c r="C34" t="s">
        <v>143</v>
      </c>
      <c r="E34" t="s">
        <v>854</v>
      </c>
      <c r="F34" t="s">
        <v>855</v>
      </c>
      <c r="G34" t="s">
        <v>856</v>
      </c>
    </row>
    <row r="35" spans="1:7">
      <c r="A35" t="s">
        <v>853</v>
      </c>
      <c r="B35" t="s">
        <v>796</v>
      </c>
      <c r="C35" t="s">
        <v>159</v>
      </c>
      <c r="E35" t="s">
        <v>854</v>
      </c>
      <c r="F35" t="s">
        <v>855</v>
      </c>
      <c r="G35" t="s">
        <v>856</v>
      </c>
    </row>
    <row r="36" spans="1:7">
      <c r="A36" t="s">
        <v>857</v>
      </c>
      <c r="B36" t="s">
        <v>796</v>
      </c>
      <c r="C36" t="s">
        <v>153</v>
      </c>
      <c r="E36" t="s">
        <v>854</v>
      </c>
      <c r="F36" t="s">
        <v>858</v>
      </c>
      <c r="G36" t="s">
        <v>856</v>
      </c>
    </row>
    <row r="37" spans="1:7">
      <c r="A37" t="s">
        <v>857</v>
      </c>
      <c r="B37" t="s">
        <v>796</v>
      </c>
      <c r="C37" t="s">
        <v>143</v>
      </c>
      <c r="E37" t="s">
        <v>854</v>
      </c>
      <c r="F37" t="s">
        <v>858</v>
      </c>
      <c r="G37" t="s">
        <v>856</v>
      </c>
    </row>
    <row r="38" spans="1:7">
      <c r="A38" t="s">
        <v>857</v>
      </c>
      <c r="B38" t="s">
        <v>796</v>
      </c>
      <c r="C38" t="s">
        <v>159</v>
      </c>
      <c r="E38" t="s">
        <v>854</v>
      </c>
      <c r="F38" t="s">
        <v>858</v>
      </c>
      <c r="G38" t="s">
        <v>856</v>
      </c>
    </row>
    <row r="39" spans="1:7">
      <c r="A39" t="s">
        <v>859</v>
      </c>
      <c r="B39" t="s">
        <v>796</v>
      </c>
      <c r="C39" t="s">
        <v>153</v>
      </c>
      <c r="E39" t="s">
        <v>854</v>
      </c>
      <c r="F39" t="s">
        <v>860</v>
      </c>
      <c r="G39" t="s">
        <v>856</v>
      </c>
    </row>
    <row r="40" spans="1:7">
      <c r="A40" t="s">
        <v>859</v>
      </c>
      <c r="B40" t="s">
        <v>796</v>
      </c>
      <c r="C40" t="s">
        <v>143</v>
      </c>
      <c r="E40" t="s">
        <v>854</v>
      </c>
      <c r="F40" t="s">
        <v>860</v>
      </c>
      <c r="G40" t="s">
        <v>856</v>
      </c>
    </row>
    <row r="41" spans="1:7">
      <c r="A41" t="s">
        <v>859</v>
      </c>
      <c r="B41" t="s">
        <v>796</v>
      </c>
      <c r="C41" t="s">
        <v>159</v>
      </c>
      <c r="E41" t="s">
        <v>854</v>
      </c>
      <c r="F41" t="s">
        <v>860</v>
      </c>
      <c r="G41" t="s">
        <v>856</v>
      </c>
    </row>
    <row r="42" spans="1:7">
      <c r="A42" t="s">
        <v>861</v>
      </c>
      <c r="B42" t="s">
        <v>796</v>
      </c>
      <c r="C42" t="s">
        <v>153</v>
      </c>
      <c r="E42" t="s">
        <v>854</v>
      </c>
      <c r="F42" t="s">
        <v>862</v>
      </c>
      <c r="G42" t="s">
        <v>856</v>
      </c>
    </row>
    <row r="43" spans="1:7">
      <c r="A43" t="s">
        <v>861</v>
      </c>
      <c r="B43" t="s">
        <v>796</v>
      </c>
      <c r="C43" t="s">
        <v>143</v>
      </c>
      <c r="E43" t="s">
        <v>854</v>
      </c>
      <c r="F43" t="s">
        <v>862</v>
      </c>
      <c r="G43" t="s">
        <v>856</v>
      </c>
    </row>
    <row r="44" spans="1:7">
      <c r="A44" t="s">
        <v>861</v>
      </c>
      <c r="B44" t="s">
        <v>796</v>
      </c>
      <c r="C44" t="s">
        <v>159</v>
      </c>
      <c r="E44" t="s">
        <v>854</v>
      </c>
      <c r="F44" t="s">
        <v>862</v>
      </c>
      <c r="G44" t="s">
        <v>856</v>
      </c>
    </row>
    <row r="45" spans="1:7">
      <c r="A45" t="s">
        <v>863</v>
      </c>
      <c r="B45" t="s">
        <v>796</v>
      </c>
      <c r="C45" t="s">
        <v>864</v>
      </c>
      <c r="E45" t="s">
        <v>865</v>
      </c>
      <c r="F45" t="s">
        <v>866</v>
      </c>
      <c r="G45" t="s">
        <v>867</v>
      </c>
    </row>
    <row r="46" spans="1:7">
      <c r="A46" t="s">
        <v>868</v>
      </c>
      <c r="B46" t="s">
        <v>796</v>
      </c>
      <c r="C46" t="s">
        <v>864</v>
      </c>
      <c r="E46" t="s">
        <v>865</v>
      </c>
      <c r="F46" t="s">
        <v>869</v>
      </c>
      <c r="G46" t="s">
        <v>867</v>
      </c>
    </row>
    <row r="47" spans="1:7">
      <c r="A47" t="s">
        <v>870</v>
      </c>
      <c r="B47" t="s">
        <v>796</v>
      </c>
      <c r="C47" t="s">
        <v>864</v>
      </c>
      <c r="E47" t="s">
        <v>865</v>
      </c>
      <c r="F47" t="s">
        <v>871</v>
      </c>
      <c r="G47" t="s">
        <v>867</v>
      </c>
    </row>
    <row r="48" spans="1:7">
      <c r="A48" t="s">
        <v>872</v>
      </c>
      <c r="B48" t="s">
        <v>796</v>
      </c>
      <c r="C48" t="s">
        <v>864</v>
      </c>
      <c r="E48" t="s">
        <v>865</v>
      </c>
      <c r="F48" t="s">
        <v>873</v>
      </c>
      <c r="G48" t="s">
        <v>867</v>
      </c>
    </row>
    <row r="49" spans="1:7">
      <c r="A49" t="s">
        <v>874</v>
      </c>
      <c r="B49" t="s">
        <v>796</v>
      </c>
      <c r="C49" t="s">
        <v>864</v>
      </c>
      <c r="E49" t="s">
        <v>842</v>
      </c>
      <c r="F49" t="s">
        <v>875</v>
      </c>
      <c r="G49" t="s">
        <v>867</v>
      </c>
    </row>
    <row r="50" spans="1:7">
      <c r="A50" t="s">
        <v>876</v>
      </c>
      <c r="B50" t="s">
        <v>796</v>
      </c>
      <c r="C50" t="s">
        <v>864</v>
      </c>
      <c r="E50" t="s">
        <v>842</v>
      </c>
      <c r="F50" t="s">
        <v>877</v>
      </c>
      <c r="G50" t="s">
        <v>867</v>
      </c>
    </row>
    <row r="51" spans="1:7">
      <c r="A51" t="s">
        <v>878</v>
      </c>
      <c r="B51" t="s">
        <v>796</v>
      </c>
      <c r="C51" t="s">
        <v>864</v>
      </c>
      <c r="E51" t="s">
        <v>842</v>
      </c>
      <c r="F51" t="s">
        <v>879</v>
      </c>
      <c r="G51" t="s">
        <v>880</v>
      </c>
    </row>
    <row r="52" spans="1:7">
      <c r="A52" t="s">
        <v>881</v>
      </c>
      <c r="B52" t="s">
        <v>796</v>
      </c>
      <c r="C52" t="s">
        <v>864</v>
      </c>
      <c r="E52" t="s">
        <v>882</v>
      </c>
      <c r="F52" t="s">
        <v>883</v>
      </c>
      <c r="G52" t="s">
        <v>867</v>
      </c>
    </row>
    <row r="53" spans="1:7">
      <c r="A53" t="s">
        <v>884</v>
      </c>
      <c r="B53" t="s">
        <v>796</v>
      </c>
      <c r="C53" t="s">
        <v>864</v>
      </c>
      <c r="E53" t="s">
        <v>885</v>
      </c>
      <c r="F53" t="s">
        <v>886</v>
      </c>
      <c r="G53" t="s">
        <v>867</v>
      </c>
    </row>
    <row r="54" spans="1:7">
      <c r="A54" t="s">
        <v>887</v>
      </c>
      <c r="B54" t="s">
        <v>796</v>
      </c>
      <c r="C54" t="s">
        <v>864</v>
      </c>
      <c r="E54" t="s">
        <v>885</v>
      </c>
      <c r="F54" t="s">
        <v>888</v>
      </c>
      <c r="G54" t="s">
        <v>867</v>
      </c>
    </row>
    <row r="55" spans="1:7">
      <c r="A55" t="s">
        <v>889</v>
      </c>
      <c r="B55" t="s">
        <v>796</v>
      </c>
      <c r="C55" t="s">
        <v>864</v>
      </c>
      <c r="E55" t="s">
        <v>885</v>
      </c>
      <c r="F55" t="s">
        <v>890</v>
      </c>
      <c r="G55" t="s">
        <v>867</v>
      </c>
    </row>
    <row r="56" spans="1:7">
      <c r="A56" t="s">
        <v>891</v>
      </c>
      <c r="B56" t="s">
        <v>796</v>
      </c>
      <c r="C56" t="s">
        <v>864</v>
      </c>
      <c r="E56" t="s">
        <v>885</v>
      </c>
      <c r="F56" t="s">
        <v>892</v>
      </c>
      <c r="G56" t="s">
        <v>867</v>
      </c>
    </row>
    <row r="57" spans="1:7">
      <c r="A57" t="s">
        <v>893</v>
      </c>
      <c r="B57" t="s">
        <v>796</v>
      </c>
      <c r="C57" t="s">
        <v>864</v>
      </c>
      <c r="E57" t="s">
        <v>865</v>
      </c>
      <c r="F57" t="s">
        <v>894</v>
      </c>
      <c r="G57" t="s">
        <v>867</v>
      </c>
    </row>
    <row r="58" spans="1:7">
      <c r="A58" t="s">
        <v>895</v>
      </c>
      <c r="B58" t="s">
        <v>796</v>
      </c>
      <c r="C58" t="s">
        <v>864</v>
      </c>
      <c r="E58" t="s">
        <v>865</v>
      </c>
      <c r="F58" t="s">
        <v>896</v>
      </c>
      <c r="G58" t="s">
        <v>867</v>
      </c>
    </row>
    <row r="59" spans="1:7">
      <c r="A59" t="s">
        <v>897</v>
      </c>
      <c r="B59" t="s">
        <v>796</v>
      </c>
      <c r="C59" t="s">
        <v>864</v>
      </c>
      <c r="E59" t="s">
        <v>882</v>
      </c>
      <c r="F59" t="s">
        <v>898</v>
      </c>
      <c r="G59" t="s">
        <v>899</v>
      </c>
    </row>
    <row r="60" spans="1:7">
      <c r="A60" t="s">
        <v>900</v>
      </c>
      <c r="B60" t="s">
        <v>796</v>
      </c>
      <c r="C60" t="s">
        <v>864</v>
      </c>
      <c r="E60" t="s">
        <v>882</v>
      </c>
      <c r="F60" t="s">
        <v>901</v>
      </c>
      <c r="G60" t="s">
        <v>880</v>
      </c>
    </row>
    <row r="61" spans="1:7">
      <c r="A61" t="s">
        <v>902</v>
      </c>
      <c r="B61" t="s">
        <v>796</v>
      </c>
      <c r="C61" t="s">
        <v>864</v>
      </c>
      <c r="E61" t="s">
        <v>865</v>
      </c>
      <c r="F61" t="s">
        <v>903</v>
      </c>
      <c r="G61" t="s">
        <v>867</v>
      </c>
    </row>
    <row r="62" spans="1:7">
      <c r="A62" t="s">
        <v>904</v>
      </c>
      <c r="B62" t="s">
        <v>796</v>
      </c>
      <c r="C62" t="s">
        <v>864</v>
      </c>
      <c r="E62" t="s">
        <v>865</v>
      </c>
      <c r="F62" t="s">
        <v>905</v>
      </c>
      <c r="G62" t="s">
        <v>867</v>
      </c>
    </row>
    <row r="63" spans="1:7">
      <c r="A63" t="s">
        <v>906</v>
      </c>
      <c r="B63" t="s">
        <v>796</v>
      </c>
      <c r="C63" t="s">
        <v>864</v>
      </c>
      <c r="E63" t="s">
        <v>865</v>
      </c>
      <c r="F63" t="s">
        <v>907</v>
      </c>
      <c r="G63" t="s">
        <v>867</v>
      </c>
    </row>
    <row r="64" spans="1:7">
      <c r="A64" t="s">
        <v>908</v>
      </c>
      <c r="B64" t="s">
        <v>796</v>
      </c>
      <c r="C64" t="s">
        <v>864</v>
      </c>
      <c r="E64" t="s">
        <v>882</v>
      </c>
      <c r="F64" t="s">
        <v>909</v>
      </c>
      <c r="G64" t="s">
        <v>867</v>
      </c>
    </row>
    <row r="65" spans="1:7">
      <c r="A65" t="s">
        <v>910</v>
      </c>
      <c r="B65" t="s">
        <v>796</v>
      </c>
      <c r="C65" t="s">
        <v>864</v>
      </c>
      <c r="E65" t="s">
        <v>882</v>
      </c>
      <c r="F65" t="s">
        <v>911</v>
      </c>
      <c r="G65" t="s">
        <v>867</v>
      </c>
    </row>
    <row r="66" spans="1:7">
      <c r="A66" t="s">
        <v>912</v>
      </c>
      <c r="B66" t="s">
        <v>796</v>
      </c>
      <c r="C66" t="s">
        <v>864</v>
      </c>
      <c r="E66" t="s">
        <v>882</v>
      </c>
      <c r="F66" t="s">
        <v>913</v>
      </c>
      <c r="G66" t="s">
        <v>867</v>
      </c>
    </row>
    <row r="67" spans="1:7">
      <c r="A67" t="s">
        <v>914</v>
      </c>
      <c r="B67" t="s">
        <v>796</v>
      </c>
      <c r="C67" t="s">
        <v>864</v>
      </c>
      <c r="E67" t="s">
        <v>882</v>
      </c>
      <c r="F67" t="s">
        <v>915</v>
      </c>
      <c r="G67" t="s">
        <v>867</v>
      </c>
    </row>
    <row r="68" spans="1:7">
      <c r="A68" t="s">
        <v>916</v>
      </c>
      <c r="B68" t="s">
        <v>796</v>
      </c>
      <c r="C68" t="s">
        <v>864</v>
      </c>
      <c r="E68" t="s">
        <v>882</v>
      </c>
      <c r="F68" t="s">
        <v>917</v>
      </c>
      <c r="G68" t="s">
        <v>867</v>
      </c>
    </row>
    <row r="69" spans="1:7">
      <c r="A69" t="s">
        <v>918</v>
      </c>
      <c r="B69" t="s">
        <v>796</v>
      </c>
      <c r="C69" t="s">
        <v>864</v>
      </c>
      <c r="E69" t="s">
        <v>882</v>
      </c>
      <c r="F69" t="s">
        <v>919</v>
      </c>
      <c r="G69" t="s">
        <v>899</v>
      </c>
    </row>
    <row r="70" spans="1:7">
      <c r="A70" t="s">
        <v>920</v>
      </c>
      <c r="B70" t="s">
        <v>796</v>
      </c>
      <c r="C70" t="s">
        <v>864</v>
      </c>
      <c r="E70" t="s">
        <v>842</v>
      </c>
      <c r="F70" t="s">
        <v>921</v>
      </c>
      <c r="G70" t="s">
        <v>867</v>
      </c>
    </row>
    <row r="71" spans="1:7">
      <c r="A71" t="s">
        <v>922</v>
      </c>
      <c r="B71" t="s">
        <v>796</v>
      </c>
      <c r="C71" t="s">
        <v>864</v>
      </c>
      <c r="E71" t="s">
        <v>882</v>
      </c>
      <c r="F71" t="s">
        <v>923</v>
      </c>
      <c r="G71" t="s">
        <v>867</v>
      </c>
    </row>
    <row r="72" spans="1:7">
      <c r="A72" t="s">
        <v>924</v>
      </c>
      <c r="B72" t="s">
        <v>796</v>
      </c>
      <c r="C72" t="s">
        <v>864</v>
      </c>
      <c r="E72" t="s">
        <v>865</v>
      </c>
      <c r="F72" t="s">
        <v>925</v>
      </c>
      <c r="G72" t="s">
        <v>867</v>
      </c>
    </row>
    <row r="73" spans="1:7">
      <c r="A73" t="s">
        <v>926</v>
      </c>
      <c r="B73" t="s">
        <v>796</v>
      </c>
      <c r="C73" t="s">
        <v>864</v>
      </c>
      <c r="E73" t="s">
        <v>865</v>
      </c>
      <c r="F73" t="s">
        <v>927</v>
      </c>
      <c r="G73" t="s">
        <v>867</v>
      </c>
    </row>
    <row r="74" spans="1:7">
      <c r="A74" t="s">
        <v>928</v>
      </c>
      <c r="B74" t="s">
        <v>796</v>
      </c>
      <c r="C74" t="s">
        <v>864</v>
      </c>
      <c r="E74" t="s">
        <v>842</v>
      </c>
      <c r="F74" t="s">
        <v>929</v>
      </c>
      <c r="G74" t="s">
        <v>867</v>
      </c>
    </row>
    <row r="75" spans="1:7">
      <c r="A75" t="s">
        <v>930</v>
      </c>
      <c r="B75" t="s">
        <v>796</v>
      </c>
      <c r="C75" t="s">
        <v>864</v>
      </c>
      <c r="E75" t="s">
        <v>865</v>
      </c>
      <c r="F75" t="s">
        <v>931</v>
      </c>
      <c r="G75" t="s">
        <v>867</v>
      </c>
    </row>
    <row r="76" spans="1:7">
      <c r="A76" t="s">
        <v>932</v>
      </c>
      <c r="B76" t="s">
        <v>796</v>
      </c>
      <c r="C76" t="s">
        <v>864</v>
      </c>
      <c r="E76" t="s">
        <v>885</v>
      </c>
      <c r="F76" t="s">
        <v>933</v>
      </c>
      <c r="G76" t="s">
        <v>867</v>
      </c>
    </row>
    <row r="77" spans="1:7">
      <c r="A77" t="s">
        <v>934</v>
      </c>
      <c r="B77" t="s">
        <v>796</v>
      </c>
      <c r="C77" t="s">
        <v>864</v>
      </c>
      <c r="E77" t="s">
        <v>865</v>
      </c>
      <c r="F77" t="s">
        <v>935</v>
      </c>
      <c r="G77" t="s">
        <v>867</v>
      </c>
    </row>
    <row r="78" spans="1:7">
      <c r="A78" t="s">
        <v>936</v>
      </c>
      <c r="B78" t="s">
        <v>796</v>
      </c>
      <c r="C78" t="s">
        <v>864</v>
      </c>
      <c r="E78" t="s">
        <v>842</v>
      </c>
      <c r="F78" t="s">
        <v>937</v>
      </c>
      <c r="G78" t="s">
        <v>867</v>
      </c>
    </row>
    <row r="79" spans="1:7">
      <c r="A79" t="s">
        <v>938</v>
      </c>
      <c r="B79" t="s">
        <v>796</v>
      </c>
      <c r="C79" t="s">
        <v>864</v>
      </c>
      <c r="E79" t="s">
        <v>882</v>
      </c>
      <c r="F79" t="s">
        <v>939</v>
      </c>
      <c r="G79" t="s">
        <v>899</v>
      </c>
    </row>
    <row r="80" spans="1:7">
      <c r="A80" t="s">
        <v>940</v>
      </c>
      <c r="B80" t="s">
        <v>796</v>
      </c>
      <c r="C80" t="s">
        <v>864</v>
      </c>
      <c r="E80" t="s">
        <v>842</v>
      </c>
      <c r="F80" t="s">
        <v>941</v>
      </c>
      <c r="G80" t="s">
        <v>867</v>
      </c>
    </row>
    <row r="81" spans="1:7">
      <c r="A81" t="s">
        <v>942</v>
      </c>
      <c r="B81" t="s">
        <v>796</v>
      </c>
      <c r="C81" t="s">
        <v>864</v>
      </c>
      <c r="E81" t="s">
        <v>882</v>
      </c>
      <c r="F81" t="s">
        <v>943</v>
      </c>
      <c r="G81" t="s">
        <v>867</v>
      </c>
    </row>
    <row r="82" spans="1:7">
      <c r="A82" t="s">
        <v>944</v>
      </c>
      <c r="B82" t="s">
        <v>796</v>
      </c>
      <c r="C82" t="s">
        <v>864</v>
      </c>
      <c r="E82" t="s">
        <v>885</v>
      </c>
      <c r="F82" t="s">
        <v>945</v>
      </c>
      <c r="G82" t="s">
        <v>867</v>
      </c>
    </row>
    <row r="83" spans="1:7">
      <c r="A83" t="s">
        <v>946</v>
      </c>
      <c r="B83" t="s">
        <v>796</v>
      </c>
      <c r="C83" t="s">
        <v>864</v>
      </c>
      <c r="E83" t="s">
        <v>842</v>
      </c>
      <c r="F83" t="s">
        <v>927</v>
      </c>
      <c r="G83" t="s">
        <v>867</v>
      </c>
    </row>
    <row r="84" spans="1:7">
      <c r="A84" t="s">
        <v>947</v>
      </c>
      <c r="B84" t="s">
        <v>796</v>
      </c>
      <c r="C84" t="s">
        <v>864</v>
      </c>
      <c r="E84" t="s">
        <v>948</v>
      </c>
      <c r="F84" t="s">
        <v>949</v>
      </c>
      <c r="G84" t="s">
        <v>899</v>
      </c>
    </row>
    <row r="85" spans="1:7">
      <c r="A85" t="s">
        <v>950</v>
      </c>
      <c r="B85" t="s">
        <v>796</v>
      </c>
      <c r="C85" t="s">
        <v>864</v>
      </c>
      <c r="E85" t="s">
        <v>885</v>
      </c>
      <c r="F85" t="s">
        <v>951</v>
      </c>
      <c r="G85" t="s">
        <v>867</v>
      </c>
    </row>
    <row r="86" spans="1:7">
      <c r="A86" t="s">
        <v>952</v>
      </c>
      <c r="B86" t="s">
        <v>796</v>
      </c>
      <c r="C86" t="s">
        <v>864</v>
      </c>
      <c r="E86" t="s">
        <v>885</v>
      </c>
      <c r="F86" t="s">
        <v>953</v>
      </c>
      <c r="G86" t="s">
        <v>867</v>
      </c>
    </row>
    <row r="87" spans="1:7">
      <c r="A87" t="s">
        <v>954</v>
      </c>
      <c r="B87" t="s">
        <v>796</v>
      </c>
      <c r="C87" t="s">
        <v>864</v>
      </c>
      <c r="E87" t="s">
        <v>885</v>
      </c>
      <c r="F87" t="s">
        <v>955</v>
      </c>
      <c r="G87" t="s">
        <v>867</v>
      </c>
    </row>
    <row r="88" spans="1:7">
      <c r="A88" t="s">
        <v>956</v>
      </c>
      <c r="B88" t="s">
        <v>796</v>
      </c>
      <c r="C88" t="s">
        <v>864</v>
      </c>
      <c r="E88" t="s">
        <v>885</v>
      </c>
      <c r="F88" t="s">
        <v>957</v>
      </c>
      <c r="G88" t="s">
        <v>867</v>
      </c>
    </row>
    <row r="89" spans="1:7">
      <c r="A89" t="s">
        <v>958</v>
      </c>
      <c r="B89" t="s">
        <v>796</v>
      </c>
      <c r="C89" t="s">
        <v>864</v>
      </c>
      <c r="E89" t="s">
        <v>885</v>
      </c>
      <c r="F89" t="s">
        <v>959</v>
      </c>
      <c r="G89" t="s">
        <v>867</v>
      </c>
    </row>
    <row r="90" spans="1:7">
      <c r="A90" t="s">
        <v>960</v>
      </c>
      <c r="B90" t="s">
        <v>796</v>
      </c>
      <c r="C90" t="s">
        <v>864</v>
      </c>
      <c r="E90" t="s">
        <v>882</v>
      </c>
      <c r="F90" t="s">
        <v>961</v>
      </c>
      <c r="G90" t="s">
        <v>899</v>
      </c>
    </row>
    <row r="91" spans="1:7">
      <c r="A91" t="s">
        <v>962</v>
      </c>
      <c r="B91" t="s">
        <v>796</v>
      </c>
      <c r="C91" t="s">
        <v>864</v>
      </c>
      <c r="E91" t="s">
        <v>948</v>
      </c>
      <c r="F91" t="s">
        <v>963</v>
      </c>
      <c r="G91" t="s">
        <v>880</v>
      </c>
    </row>
    <row r="92" spans="1:7">
      <c r="A92" t="s">
        <v>964</v>
      </c>
      <c r="B92" t="s">
        <v>796</v>
      </c>
      <c r="C92" t="s">
        <v>864</v>
      </c>
      <c r="E92" t="s">
        <v>842</v>
      </c>
      <c r="F92" t="s">
        <v>965</v>
      </c>
      <c r="G92" t="s">
        <v>899</v>
      </c>
    </row>
    <row r="93" spans="1:7">
      <c r="A93" t="s">
        <v>966</v>
      </c>
      <c r="B93" t="s">
        <v>796</v>
      </c>
      <c r="C93" t="s">
        <v>864</v>
      </c>
      <c r="E93" t="s">
        <v>948</v>
      </c>
      <c r="F93" t="s">
        <v>967</v>
      </c>
      <c r="G93" t="s">
        <v>880</v>
      </c>
    </row>
    <row r="94" spans="1:7">
      <c r="A94" t="s">
        <v>968</v>
      </c>
      <c r="B94" t="s">
        <v>796</v>
      </c>
      <c r="C94" t="s">
        <v>864</v>
      </c>
      <c r="E94" t="s">
        <v>882</v>
      </c>
      <c r="F94" t="s">
        <v>969</v>
      </c>
      <c r="G94" t="s">
        <v>899</v>
      </c>
    </row>
    <row r="95" spans="1:7">
      <c r="A95" t="s">
        <v>970</v>
      </c>
      <c r="B95" t="s">
        <v>796</v>
      </c>
      <c r="C95" t="s">
        <v>864</v>
      </c>
      <c r="E95" t="s">
        <v>842</v>
      </c>
      <c r="F95" t="s">
        <v>971</v>
      </c>
      <c r="G95" t="s">
        <v>899</v>
      </c>
    </row>
    <row r="96" spans="1:7">
      <c r="A96" t="s">
        <v>972</v>
      </c>
      <c r="B96" t="s">
        <v>796</v>
      </c>
      <c r="C96" t="s">
        <v>864</v>
      </c>
      <c r="E96" t="s">
        <v>882</v>
      </c>
      <c r="F96" t="s">
        <v>973</v>
      </c>
      <c r="G96" t="s">
        <v>899</v>
      </c>
    </row>
    <row r="97" spans="1:7">
      <c r="A97" t="s">
        <v>974</v>
      </c>
      <c r="B97" t="s">
        <v>796</v>
      </c>
      <c r="C97" t="s">
        <v>864</v>
      </c>
      <c r="E97" t="s">
        <v>842</v>
      </c>
      <c r="F97" t="s">
        <v>975</v>
      </c>
      <c r="G97" t="s">
        <v>899</v>
      </c>
    </row>
    <row r="98" spans="1:7">
      <c r="A98" t="s">
        <v>976</v>
      </c>
      <c r="B98" t="s">
        <v>796</v>
      </c>
      <c r="C98" t="s">
        <v>864</v>
      </c>
      <c r="E98" t="s">
        <v>885</v>
      </c>
      <c r="F98" t="s">
        <v>977</v>
      </c>
      <c r="G98" t="s">
        <v>867</v>
      </c>
    </row>
    <row r="99" spans="1:7">
      <c r="A99" t="s">
        <v>978</v>
      </c>
      <c r="B99" t="s">
        <v>796</v>
      </c>
      <c r="C99" t="s">
        <v>864</v>
      </c>
      <c r="E99" t="s">
        <v>865</v>
      </c>
      <c r="F99" t="s">
        <v>979</v>
      </c>
      <c r="G99" t="s">
        <v>867</v>
      </c>
    </row>
    <row r="100" spans="1:7">
      <c r="A100" t="s">
        <v>980</v>
      </c>
      <c r="B100" t="s">
        <v>796</v>
      </c>
      <c r="C100" t="s">
        <v>864</v>
      </c>
      <c r="E100" t="s">
        <v>842</v>
      </c>
      <c r="F100" t="s">
        <v>981</v>
      </c>
      <c r="G100" t="s">
        <v>899</v>
      </c>
    </row>
    <row r="101" spans="1:7">
      <c r="A101" t="s">
        <v>982</v>
      </c>
      <c r="B101" t="s">
        <v>796</v>
      </c>
      <c r="C101" t="s">
        <v>864</v>
      </c>
      <c r="E101" t="s">
        <v>865</v>
      </c>
      <c r="F101" t="s">
        <v>983</v>
      </c>
      <c r="G101" t="s">
        <v>867</v>
      </c>
    </row>
    <row r="102" spans="1:7">
      <c r="A102" t="s">
        <v>984</v>
      </c>
      <c r="B102" t="s">
        <v>796</v>
      </c>
      <c r="C102" t="s">
        <v>864</v>
      </c>
      <c r="E102" t="s">
        <v>882</v>
      </c>
      <c r="F102" t="s">
        <v>959</v>
      </c>
      <c r="G102" t="s">
        <v>867</v>
      </c>
    </row>
    <row r="103" spans="1:7">
      <c r="A103" t="s">
        <v>985</v>
      </c>
      <c r="B103" t="s">
        <v>796</v>
      </c>
      <c r="C103" t="s">
        <v>864</v>
      </c>
      <c r="E103" t="s">
        <v>882</v>
      </c>
      <c r="F103" t="s">
        <v>986</v>
      </c>
      <c r="G103" t="s">
        <v>899</v>
      </c>
    </row>
    <row r="104" spans="1:7">
      <c r="A104" t="s">
        <v>987</v>
      </c>
      <c r="B104" t="s">
        <v>796</v>
      </c>
      <c r="C104" t="s">
        <v>864</v>
      </c>
      <c r="E104" t="s">
        <v>842</v>
      </c>
      <c r="F104" t="s">
        <v>975</v>
      </c>
      <c r="G104" t="s">
        <v>899</v>
      </c>
    </row>
    <row r="105" spans="1:7">
      <c r="A105" t="s">
        <v>988</v>
      </c>
      <c r="B105" t="s">
        <v>796</v>
      </c>
      <c r="C105" t="s">
        <v>864</v>
      </c>
      <c r="E105" t="s">
        <v>842</v>
      </c>
      <c r="F105" t="s">
        <v>989</v>
      </c>
      <c r="G105" t="s">
        <v>899</v>
      </c>
    </row>
    <row r="106" spans="1:7">
      <c r="A106" t="s">
        <v>990</v>
      </c>
      <c r="B106" t="s">
        <v>796</v>
      </c>
      <c r="C106" t="s">
        <v>864</v>
      </c>
      <c r="E106" t="s">
        <v>842</v>
      </c>
      <c r="F106" t="s">
        <v>991</v>
      </c>
      <c r="G106" t="s">
        <v>899</v>
      </c>
    </row>
    <row r="107" spans="1:7">
      <c r="A107" t="s">
        <v>992</v>
      </c>
      <c r="B107" t="s">
        <v>796</v>
      </c>
      <c r="C107" t="s">
        <v>864</v>
      </c>
      <c r="E107" t="s">
        <v>948</v>
      </c>
      <c r="F107" t="s">
        <v>993</v>
      </c>
      <c r="G107" t="s">
        <v>899</v>
      </c>
    </row>
    <row r="108" spans="1:7">
      <c r="A108" t="s">
        <v>994</v>
      </c>
      <c r="B108" t="s">
        <v>796</v>
      </c>
      <c r="C108" t="s">
        <v>864</v>
      </c>
      <c r="E108" t="s">
        <v>842</v>
      </c>
      <c r="F108" t="s">
        <v>991</v>
      </c>
      <c r="G108" t="s">
        <v>899</v>
      </c>
    </row>
    <row r="109" spans="1:7">
      <c r="A109" t="s">
        <v>995</v>
      </c>
      <c r="B109" t="s">
        <v>796</v>
      </c>
      <c r="C109" t="s">
        <v>864</v>
      </c>
      <c r="E109" t="s">
        <v>948</v>
      </c>
      <c r="F109" t="s">
        <v>996</v>
      </c>
      <c r="G109" t="s">
        <v>899</v>
      </c>
    </row>
    <row r="110" spans="1:7">
      <c r="A110" t="s">
        <v>997</v>
      </c>
      <c r="B110" t="s">
        <v>796</v>
      </c>
      <c r="C110" t="s">
        <v>864</v>
      </c>
      <c r="E110" t="s">
        <v>842</v>
      </c>
      <c r="F110" t="s">
        <v>998</v>
      </c>
      <c r="G110" t="s">
        <v>899</v>
      </c>
    </row>
    <row r="111" spans="1:7">
      <c r="A111" t="s">
        <v>999</v>
      </c>
      <c r="B111" t="s">
        <v>796</v>
      </c>
      <c r="C111" t="s">
        <v>864</v>
      </c>
      <c r="E111" t="s">
        <v>948</v>
      </c>
      <c r="F111" t="s">
        <v>1000</v>
      </c>
      <c r="G111" t="s">
        <v>899</v>
      </c>
    </row>
    <row r="112" spans="1:7">
      <c r="A112" t="s">
        <v>1001</v>
      </c>
      <c r="B112" t="s">
        <v>796</v>
      </c>
      <c r="C112" t="s">
        <v>864</v>
      </c>
      <c r="E112" t="s">
        <v>882</v>
      </c>
      <c r="F112" t="s">
        <v>1002</v>
      </c>
      <c r="G112" t="s">
        <v>899</v>
      </c>
    </row>
    <row r="113" spans="1:7">
      <c r="A113" t="s">
        <v>1003</v>
      </c>
      <c r="B113" t="s">
        <v>796</v>
      </c>
      <c r="C113" t="s">
        <v>864</v>
      </c>
      <c r="E113" t="s">
        <v>842</v>
      </c>
      <c r="F113" t="s">
        <v>1004</v>
      </c>
      <c r="G113" t="s">
        <v>899</v>
      </c>
    </row>
    <row r="114" spans="1:7">
      <c r="A114" t="s">
        <v>1005</v>
      </c>
      <c r="B114" t="s">
        <v>796</v>
      </c>
      <c r="C114" t="s">
        <v>864</v>
      </c>
      <c r="E114" t="s">
        <v>842</v>
      </c>
      <c r="F114" t="s">
        <v>1006</v>
      </c>
      <c r="G114" t="s">
        <v>899</v>
      </c>
    </row>
    <row r="115" spans="1:7">
      <c r="A115" t="s">
        <v>1007</v>
      </c>
      <c r="B115" t="s">
        <v>796</v>
      </c>
      <c r="C115" t="s">
        <v>864</v>
      </c>
      <c r="E115" t="s">
        <v>882</v>
      </c>
      <c r="F115" t="s">
        <v>1008</v>
      </c>
      <c r="G115" t="s">
        <v>899</v>
      </c>
    </row>
    <row r="116" spans="1:7">
      <c r="A116" t="s">
        <v>1009</v>
      </c>
      <c r="B116" t="s">
        <v>796</v>
      </c>
      <c r="C116" t="s">
        <v>864</v>
      </c>
      <c r="E116" t="s">
        <v>842</v>
      </c>
      <c r="F116" t="s">
        <v>1010</v>
      </c>
      <c r="G116" t="s">
        <v>899</v>
      </c>
    </row>
    <row r="117" spans="1:7">
      <c r="A117" t="s">
        <v>1011</v>
      </c>
      <c r="B117" t="s">
        <v>796</v>
      </c>
      <c r="C117" t="s">
        <v>864</v>
      </c>
      <c r="E117" t="s">
        <v>882</v>
      </c>
      <c r="F117" t="s">
        <v>1012</v>
      </c>
      <c r="G117" t="s">
        <v>899</v>
      </c>
    </row>
    <row r="118" spans="1:7">
      <c r="A118" t="s">
        <v>1013</v>
      </c>
      <c r="B118" t="s">
        <v>796</v>
      </c>
      <c r="C118" t="s">
        <v>864</v>
      </c>
      <c r="E118" t="s">
        <v>948</v>
      </c>
      <c r="F118" t="s">
        <v>1014</v>
      </c>
      <c r="G118" t="s">
        <v>899</v>
      </c>
    </row>
    <row r="119" spans="1:7">
      <c r="A119" t="s">
        <v>1015</v>
      </c>
      <c r="B119" t="s">
        <v>796</v>
      </c>
      <c r="C119" t="s">
        <v>864</v>
      </c>
      <c r="E119" t="s">
        <v>842</v>
      </c>
      <c r="F119" t="s">
        <v>1016</v>
      </c>
      <c r="G119" t="s">
        <v>899</v>
      </c>
    </row>
    <row r="120" spans="1:7">
      <c r="A120" t="s">
        <v>1017</v>
      </c>
      <c r="B120" t="s">
        <v>796</v>
      </c>
      <c r="C120" t="s">
        <v>864</v>
      </c>
      <c r="E120" t="s">
        <v>842</v>
      </c>
      <c r="F120" t="s">
        <v>1018</v>
      </c>
      <c r="G120" t="s">
        <v>899</v>
      </c>
    </row>
    <row r="121" spans="1:7">
      <c r="A121" t="s">
        <v>1019</v>
      </c>
      <c r="B121" t="s">
        <v>796</v>
      </c>
      <c r="C121" t="s">
        <v>864</v>
      </c>
      <c r="E121" t="s">
        <v>842</v>
      </c>
      <c r="F121" t="s">
        <v>1020</v>
      </c>
      <c r="G121" t="s">
        <v>899</v>
      </c>
    </row>
    <row r="122" spans="1:7">
      <c r="A122" t="s">
        <v>1021</v>
      </c>
      <c r="B122" t="s">
        <v>796</v>
      </c>
      <c r="C122" t="s">
        <v>864</v>
      </c>
      <c r="E122" t="s">
        <v>948</v>
      </c>
      <c r="F122" t="s">
        <v>1022</v>
      </c>
      <c r="G122" t="s">
        <v>899</v>
      </c>
    </row>
    <row r="123" spans="1:7">
      <c r="A123" t="s">
        <v>1023</v>
      </c>
      <c r="B123" t="s">
        <v>796</v>
      </c>
      <c r="C123" t="s">
        <v>864</v>
      </c>
      <c r="E123" t="s">
        <v>842</v>
      </c>
      <c r="F123" t="s">
        <v>1024</v>
      </c>
      <c r="G123" t="s">
        <v>899</v>
      </c>
    </row>
    <row r="124" spans="1:7">
      <c r="A124" t="s">
        <v>1025</v>
      </c>
      <c r="B124" t="s">
        <v>796</v>
      </c>
      <c r="C124" t="s">
        <v>864</v>
      </c>
      <c r="E124" t="s">
        <v>882</v>
      </c>
      <c r="F124" t="s">
        <v>1026</v>
      </c>
      <c r="G124" t="s">
        <v>899</v>
      </c>
    </row>
    <row r="125" spans="1:7">
      <c r="A125" t="s">
        <v>1027</v>
      </c>
      <c r="B125" t="s">
        <v>796</v>
      </c>
      <c r="C125" t="s">
        <v>864</v>
      </c>
      <c r="E125" t="s">
        <v>842</v>
      </c>
      <c r="F125" t="s">
        <v>1028</v>
      </c>
      <c r="G125" t="s">
        <v>899</v>
      </c>
    </row>
    <row r="126" spans="1:7">
      <c r="A126" t="s">
        <v>1029</v>
      </c>
      <c r="B126" t="s">
        <v>796</v>
      </c>
      <c r="C126" t="s">
        <v>864</v>
      </c>
      <c r="E126" t="s">
        <v>865</v>
      </c>
      <c r="F126" t="s">
        <v>1030</v>
      </c>
      <c r="G126" t="s">
        <v>899</v>
      </c>
    </row>
    <row r="127" spans="1:7">
      <c r="A127" t="s">
        <v>1031</v>
      </c>
      <c r="B127" t="s">
        <v>796</v>
      </c>
      <c r="C127" t="s">
        <v>864</v>
      </c>
      <c r="E127" t="s">
        <v>865</v>
      </c>
      <c r="F127" t="s">
        <v>1032</v>
      </c>
      <c r="G127" t="s">
        <v>899</v>
      </c>
    </row>
    <row r="128" spans="1:7">
      <c r="A128" t="s">
        <v>1033</v>
      </c>
      <c r="B128" t="s">
        <v>796</v>
      </c>
      <c r="C128" t="s">
        <v>864</v>
      </c>
      <c r="E128" t="s">
        <v>865</v>
      </c>
      <c r="F128" t="s">
        <v>1034</v>
      </c>
      <c r="G128" t="s">
        <v>899</v>
      </c>
    </row>
    <row r="129" spans="1:7">
      <c r="A129" t="s">
        <v>1035</v>
      </c>
      <c r="B129" t="s">
        <v>796</v>
      </c>
      <c r="C129" t="s">
        <v>864</v>
      </c>
      <c r="E129" t="s">
        <v>948</v>
      </c>
      <c r="F129" t="s">
        <v>1036</v>
      </c>
      <c r="G129" t="s">
        <v>899</v>
      </c>
    </row>
    <row r="130" spans="1:7">
      <c r="A130" t="s">
        <v>1037</v>
      </c>
      <c r="B130" t="s">
        <v>796</v>
      </c>
      <c r="C130" t="s">
        <v>864</v>
      </c>
      <c r="E130" t="s">
        <v>882</v>
      </c>
      <c r="F130" t="s">
        <v>1038</v>
      </c>
      <c r="G130" t="s">
        <v>899</v>
      </c>
    </row>
    <row r="131" spans="1:7">
      <c r="A131" t="s">
        <v>1039</v>
      </c>
      <c r="B131" t="s">
        <v>796</v>
      </c>
      <c r="C131" t="s">
        <v>864</v>
      </c>
      <c r="F131" t="s">
        <v>1040</v>
      </c>
      <c r="G131" t="s">
        <v>899</v>
      </c>
    </row>
    <row r="132" spans="1:7">
      <c r="A132" t="s">
        <v>1041</v>
      </c>
      <c r="B132" t="s">
        <v>796</v>
      </c>
      <c r="C132" t="s">
        <v>864</v>
      </c>
      <c r="E132" t="s">
        <v>948</v>
      </c>
      <c r="F132" t="s">
        <v>1042</v>
      </c>
      <c r="G132" t="s">
        <v>899</v>
      </c>
    </row>
    <row r="133" spans="1:7">
      <c r="A133" t="s">
        <v>1043</v>
      </c>
      <c r="B133" t="s">
        <v>796</v>
      </c>
      <c r="C133" t="s">
        <v>864</v>
      </c>
      <c r="E133" t="s">
        <v>865</v>
      </c>
      <c r="F133" t="s">
        <v>1044</v>
      </c>
      <c r="G133" t="s">
        <v>899</v>
      </c>
    </row>
    <row r="134" spans="1:7">
      <c r="A134" t="s">
        <v>1045</v>
      </c>
      <c r="B134" t="s">
        <v>796</v>
      </c>
      <c r="C134" t="s">
        <v>864</v>
      </c>
      <c r="E134" t="s">
        <v>842</v>
      </c>
      <c r="F134" t="s">
        <v>1046</v>
      </c>
      <c r="G134" t="s">
        <v>899</v>
      </c>
    </row>
    <row r="135" spans="1:7">
      <c r="A135" t="s">
        <v>1047</v>
      </c>
      <c r="B135" t="s">
        <v>796</v>
      </c>
      <c r="C135" t="s">
        <v>864</v>
      </c>
      <c r="F135" t="s">
        <v>1048</v>
      </c>
      <c r="G135" t="s">
        <v>899</v>
      </c>
    </row>
    <row r="136" spans="1:7">
      <c r="A136" t="s">
        <v>1049</v>
      </c>
      <c r="B136" t="s">
        <v>796</v>
      </c>
      <c r="C136" t="s">
        <v>864</v>
      </c>
      <c r="F136" t="s">
        <v>1050</v>
      </c>
      <c r="G136" t="s">
        <v>899</v>
      </c>
    </row>
    <row r="137" spans="1:7">
      <c r="A137" t="s">
        <v>1051</v>
      </c>
      <c r="B137" t="s">
        <v>796</v>
      </c>
      <c r="C137" t="s">
        <v>864</v>
      </c>
      <c r="E137" t="s">
        <v>842</v>
      </c>
      <c r="F137" t="s">
        <v>1052</v>
      </c>
      <c r="G137" t="s">
        <v>899</v>
      </c>
    </row>
    <row r="138" spans="1:7">
      <c r="A138" t="s">
        <v>1053</v>
      </c>
      <c r="B138" t="s">
        <v>796</v>
      </c>
      <c r="C138" t="s">
        <v>864</v>
      </c>
      <c r="F138" t="s">
        <v>1054</v>
      </c>
      <c r="G138" t="s">
        <v>899</v>
      </c>
    </row>
    <row r="139" spans="1:7">
      <c r="A139" t="s">
        <v>1055</v>
      </c>
      <c r="B139" t="s">
        <v>796</v>
      </c>
      <c r="C139" t="s">
        <v>864</v>
      </c>
      <c r="E139" t="s">
        <v>842</v>
      </c>
      <c r="F139" t="s">
        <v>1056</v>
      </c>
      <c r="G139" t="s">
        <v>899</v>
      </c>
    </row>
    <row r="140" spans="1:7">
      <c r="A140" t="s">
        <v>1057</v>
      </c>
      <c r="B140" t="s">
        <v>796</v>
      </c>
      <c r="C140" t="s">
        <v>864</v>
      </c>
      <c r="E140" t="s">
        <v>865</v>
      </c>
      <c r="F140" t="s">
        <v>1058</v>
      </c>
      <c r="G140" t="s">
        <v>899</v>
      </c>
    </row>
    <row r="141" spans="1:7">
      <c r="A141" t="s">
        <v>1059</v>
      </c>
      <c r="B141" t="s">
        <v>796</v>
      </c>
      <c r="C141" t="s">
        <v>864</v>
      </c>
      <c r="E141" t="s">
        <v>865</v>
      </c>
      <c r="F141" t="s">
        <v>1060</v>
      </c>
      <c r="G141" t="s">
        <v>899</v>
      </c>
    </row>
    <row r="142" spans="1:7">
      <c r="A142" t="s">
        <v>1061</v>
      </c>
      <c r="B142" t="s">
        <v>796</v>
      </c>
      <c r="C142" t="s">
        <v>864</v>
      </c>
      <c r="E142" t="s">
        <v>842</v>
      </c>
      <c r="F142" t="s">
        <v>1062</v>
      </c>
      <c r="G142" t="s">
        <v>899</v>
      </c>
    </row>
    <row r="143" spans="1:7">
      <c r="A143" t="s">
        <v>1063</v>
      </c>
      <c r="B143" t="s">
        <v>796</v>
      </c>
      <c r="C143" t="s">
        <v>864</v>
      </c>
      <c r="F143" t="s">
        <v>1064</v>
      </c>
      <c r="G143" t="s">
        <v>899</v>
      </c>
    </row>
    <row r="144" spans="1:7">
      <c r="A144" t="s">
        <v>1065</v>
      </c>
      <c r="B144" t="s">
        <v>796</v>
      </c>
      <c r="C144" t="s">
        <v>864</v>
      </c>
      <c r="F144" t="s">
        <v>1066</v>
      </c>
      <c r="G144" t="s">
        <v>899</v>
      </c>
    </row>
    <row r="145" spans="1:7">
      <c r="A145" t="s">
        <v>1067</v>
      </c>
      <c r="B145" t="s">
        <v>796</v>
      </c>
      <c r="C145" t="s">
        <v>864</v>
      </c>
      <c r="E145" t="s">
        <v>842</v>
      </c>
      <c r="F145" t="s">
        <v>1068</v>
      </c>
      <c r="G145" t="s">
        <v>899</v>
      </c>
    </row>
    <row r="146" spans="1:7">
      <c r="A146" t="s">
        <v>1069</v>
      </c>
      <c r="B146" t="s">
        <v>796</v>
      </c>
      <c r="C146" t="s">
        <v>864</v>
      </c>
      <c r="F146" t="s">
        <v>1070</v>
      </c>
      <c r="G146" t="s">
        <v>899</v>
      </c>
    </row>
    <row r="147" spans="1:7">
      <c r="A147" t="s">
        <v>1071</v>
      </c>
      <c r="B147" t="s">
        <v>796</v>
      </c>
      <c r="C147" t="s">
        <v>864</v>
      </c>
      <c r="E147" t="s">
        <v>882</v>
      </c>
      <c r="F147" t="s">
        <v>1072</v>
      </c>
      <c r="G147" t="s">
        <v>899</v>
      </c>
    </row>
    <row r="148" spans="1:7">
      <c r="A148" t="s">
        <v>1073</v>
      </c>
      <c r="B148" t="s">
        <v>796</v>
      </c>
      <c r="C148" t="s">
        <v>864</v>
      </c>
      <c r="E148" t="s">
        <v>882</v>
      </c>
      <c r="F148" t="s">
        <v>1074</v>
      </c>
      <c r="G148" t="s">
        <v>899</v>
      </c>
    </row>
    <row r="149" spans="1:7">
      <c r="A149" t="s">
        <v>1075</v>
      </c>
      <c r="B149" t="s">
        <v>796</v>
      </c>
      <c r="C149" t="s">
        <v>864</v>
      </c>
      <c r="E149" t="s">
        <v>842</v>
      </c>
      <c r="F149" t="s">
        <v>1076</v>
      </c>
      <c r="G149" t="s">
        <v>899</v>
      </c>
    </row>
    <row r="150" spans="1:7">
      <c r="A150" t="s">
        <v>1077</v>
      </c>
      <c r="B150" t="s">
        <v>796</v>
      </c>
      <c r="C150" t="s">
        <v>864</v>
      </c>
      <c r="F150" t="s">
        <v>1078</v>
      </c>
      <c r="G150" t="s">
        <v>899</v>
      </c>
    </row>
    <row r="151" spans="1:7">
      <c r="A151" t="s">
        <v>1079</v>
      </c>
      <c r="B151" t="s">
        <v>796</v>
      </c>
      <c r="C151" t="s">
        <v>864</v>
      </c>
      <c r="E151" t="s">
        <v>882</v>
      </c>
      <c r="F151" t="s">
        <v>1080</v>
      </c>
      <c r="G151" t="s">
        <v>899</v>
      </c>
    </row>
    <row r="152" spans="1:7">
      <c r="A152" t="s">
        <v>1081</v>
      </c>
      <c r="B152" t="s">
        <v>796</v>
      </c>
      <c r="C152" t="s">
        <v>864</v>
      </c>
      <c r="E152" t="s">
        <v>948</v>
      </c>
      <c r="F152" t="s">
        <v>1082</v>
      </c>
      <c r="G152" t="s">
        <v>899</v>
      </c>
    </row>
    <row r="153" spans="1:7">
      <c r="A153" t="s">
        <v>1083</v>
      </c>
      <c r="B153" t="s">
        <v>796</v>
      </c>
      <c r="C153" t="s">
        <v>864</v>
      </c>
      <c r="E153" t="s">
        <v>842</v>
      </c>
      <c r="F153" t="s">
        <v>1084</v>
      </c>
      <c r="G153" t="s">
        <v>899</v>
      </c>
    </row>
    <row r="154" spans="1:7">
      <c r="A154" t="s">
        <v>1085</v>
      </c>
      <c r="B154" t="s">
        <v>796</v>
      </c>
      <c r="C154" t="s">
        <v>864</v>
      </c>
      <c r="E154" t="s">
        <v>882</v>
      </c>
      <c r="F154" t="s">
        <v>1086</v>
      </c>
      <c r="G154" t="s">
        <v>899</v>
      </c>
    </row>
    <row r="155" spans="1:7">
      <c r="A155" t="s">
        <v>1087</v>
      </c>
      <c r="B155" t="s">
        <v>796</v>
      </c>
      <c r="C155" t="s">
        <v>864</v>
      </c>
      <c r="E155" t="s">
        <v>842</v>
      </c>
      <c r="F155" t="s">
        <v>1088</v>
      </c>
      <c r="G155" t="s">
        <v>899</v>
      </c>
    </row>
    <row r="156" spans="1:7">
      <c r="A156" t="s">
        <v>1089</v>
      </c>
      <c r="B156" t="s">
        <v>796</v>
      </c>
      <c r="C156" t="s">
        <v>864</v>
      </c>
      <c r="F156" t="s">
        <v>1090</v>
      </c>
      <c r="G156" t="s">
        <v>899</v>
      </c>
    </row>
    <row r="157" spans="1:7">
      <c r="A157" t="s">
        <v>1091</v>
      </c>
      <c r="B157" t="s">
        <v>796</v>
      </c>
      <c r="C157" t="s">
        <v>864</v>
      </c>
      <c r="E157" t="s">
        <v>865</v>
      </c>
      <c r="F157" t="s">
        <v>1092</v>
      </c>
      <c r="G157" t="s">
        <v>899</v>
      </c>
    </row>
    <row r="158" spans="1:7">
      <c r="A158" t="s">
        <v>1093</v>
      </c>
      <c r="B158" t="s">
        <v>796</v>
      </c>
      <c r="C158" t="s">
        <v>864</v>
      </c>
      <c r="F158" t="s">
        <v>1094</v>
      </c>
      <c r="G158" t="s">
        <v>899</v>
      </c>
    </row>
    <row r="159" spans="1:7">
      <c r="A159" t="s">
        <v>1095</v>
      </c>
      <c r="B159" t="s">
        <v>796</v>
      </c>
      <c r="C159" t="s">
        <v>864</v>
      </c>
      <c r="E159" t="s">
        <v>865</v>
      </c>
      <c r="F159" t="s">
        <v>1096</v>
      </c>
      <c r="G159" t="s">
        <v>899</v>
      </c>
    </row>
    <row r="160" spans="1:7">
      <c r="A160" t="s">
        <v>1097</v>
      </c>
      <c r="B160" t="s">
        <v>796</v>
      </c>
      <c r="C160" t="s">
        <v>864</v>
      </c>
      <c r="E160" t="s">
        <v>865</v>
      </c>
      <c r="F160" t="s">
        <v>1098</v>
      </c>
      <c r="G160" t="s">
        <v>899</v>
      </c>
    </row>
    <row r="161" spans="1:7">
      <c r="A161" t="s">
        <v>1099</v>
      </c>
      <c r="B161" t="s">
        <v>796</v>
      </c>
      <c r="C161" t="s">
        <v>864</v>
      </c>
      <c r="E161" t="s">
        <v>865</v>
      </c>
      <c r="F161" t="s">
        <v>1100</v>
      </c>
      <c r="G161" t="s">
        <v>899</v>
      </c>
    </row>
    <row r="162" spans="1:7">
      <c r="A162" t="s">
        <v>1101</v>
      </c>
      <c r="B162" t="s">
        <v>796</v>
      </c>
      <c r="C162" t="s">
        <v>864</v>
      </c>
      <c r="E162" t="s">
        <v>865</v>
      </c>
      <c r="F162" t="s">
        <v>1102</v>
      </c>
      <c r="G162" t="s">
        <v>899</v>
      </c>
    </row>
    <row r="163" spans="1:7">
      <c r="A163" t="s">
        <v>1103</v>
      </c>
      <c r="B163" t="s">
        <v>796</v>
      </c>
      <c r="C163" t="s">
        <v>864</v>
      </c>
      <c r="E163" t="s">
        <v>865</v>
      </c>
      <c r="F163" t="s">
        <v>1104</v>
      </c>
      <c r="G163" t="s">
        <v>899</v>
      </c>
    </row>
    <row r="164" spans="1:7">
      <c r="A164" t="s">
        <v>1105</v>
      </c>
      <c r="B164" t="s">
        <v>796</v>
      </c>
      <c r="C164" t="s">
        <v>864</v>
      </c>
      <c r="E164" t="s">
        <v>865</v>
      </c>
      <c r="F164" t="s">
        <v>1106</v>
      </c>
      <c r="G164" t="s">
        <v>899</v>
      </c>
    </row>
    <row r="165" spans="1:7">
      <c r="A165" t="s">
        <v>1107</v>
      </c>
      <c r="B165" t="s">
        <v>796</v>
      </c>
      <c r="C165" t="s">
        <v>864</v>
      </c>
      <c r="E165" t="s">
        <v>865</v>
      </c>
      <c r="F165" t="s">
        <v>1108</v>
      </c>
      <c r="G165" t="s">
        <v>899</v>
      </c>
    </row>
    <row r="166" spans="1:7">
      <c r="A166" t="s">
        <v>1109</v>
      </c>
      <c r="B166" t="s">
        <v>796</v>
      </c>
      <c r="C166" t="s">
        <v>864</v>
      </c>
      <c r="E166" t="s">
        <v>865</v>
      </c>
      <c r="F166" t="s">
        <v>1110</v>
      </c>
      <c r="G166" t="s">
        <v>899</v>
      </c>
    </row>
    <row r="167" spans="1:7">
      <c r="A167" t="s">
        <v>1111</v>
      </c>
      <c r="B167" t="s">
        <v>796</v>
      </c>
      <c r="C167" t="s">
        <v>864</v>
      </c>
      <c r="E167" t="s">
        <v>865</v>
      </c>
      <c r="F167" t="s">
        <v>1112</v>
      </c>
      <c r="G167" t="s">
        <v>899</v>
      </c>
    </row>
    <row r="168" spans="1:7">
      <c r="A168" t="s">
        <v>1113</v>
      </c>
      <c r="B168" t="s">
        <v>796</v>
      </c>
      <c r="C168" t="s">
        <v>864</v>
      </c>
      <c r="F168" t="s">
        <v>1114</v>
      </c>
      <c r="G168" t="s">
        <v>899</v>
      </c>
    </row>
    <row r="169" spans="1:7">
      <c r="A169" t="s">
        <v>1115</v>
      </c>
      <c r="B169" t="s">
        <v>796</v>
      </c>
      <c r="C169" t="s">
        <v>864</v>
      </c>
      <c r="E169" t="s">
        <v>948</v>
      </c>
      <c r="F169" t="s">
        <v>1116</v>
      </c>
      <c r="G169" t="s">
        <v>880</v>
      </c>
    </row>
    <row r="170" spans="1:7">
      <c r="A170" t="s">
        <v>1117</v>
      </c>
      <c r="B170" t="s">
        <v>796</v>
      </c>
      <c r="C170" t="s">
        <v>864</v>
      </c>
      <c r="E170" t="s">
        <v>865</v>
      </c>
      <c r="F170" t="s">
        <v>1118</v>
      </c>
      <c r="G170" t="s">
        <v>899</v>
      </c>
    </row>
    <row r="171" spans="1:7">
      <c r="A171" t="s">
        <v>1119</v>
      </c>
      <c r="B171" t="s">
        <v>796</v>
      </c>
      <c r="C171" t="s">
        <v>864</v>
      </c>
      <c r="F171" t="s">
        <v>1120</v>
      </c>
      <c r="G171" t="s">
        <v>899</v>
      </c>
    </row>
    <row r="172" spans="1:7">
      <c r="A172" t="s">
        <v>1121</v>
      </c>
      <c r="B172" t="s">
        <v>796</v>
      </c>
      <c r="C172" t="s">
        <v>864</v>
      </c>
      <c r="E172" t="s">
        <v>865</v>
      </c>
      <c r="F172" t="s">
        <v>1122</v>
      </c>
      <c r="G172" t="s">
        <v>899</v>
      </c>
    </row>
    <row r="173" spans="1:7">
      <c r="A173" t="s">
        <v>1123</v>
      </c>
      <c r="B173" t="s">
        <v>796</v>
      </c>
      <c r="C173" t="s">
        <v>864</v>
      </c>
      <c r="F173" t="s">
        <v>1124</v>
      </c>
      <c r="G173" t="s">
        <v>899</v>
      </c>
    </row>
    <row r="174" spans="1:7">
      <c r="A174" t="s">
        <v>1125</v>
      </c>
      <c r="B174" t="s">
        <v>796</v>
      </c>
      <c r="C174" t="s">
        <v>864</v>
      </c>
      <c r="E174" t="s">
        <v>948</v>
      </c>
      <c r="F174" t="s">
        <v>1126</v>
      </c>
      <c r="G174" t="s">
        <v>899</v>
      </c>
    </row>
    <row r="175" spans="1:7">
      <c r="A175" t="s">
        <v>1127</v>
      </c>
      <c r="B175" t="s">
        <v>796</v>
      </c>
      <c r="C175" t="s">
        <v>864</v>
      </c>
      <c r="F175" t="s">
        <v>1128</v>
      </c>
      <c r="G175" t="s">
        <v>899</v>
      </c>
    </row>
    <row r="176" spans="1:7">
      <c r="A176" t="s">
        <v>1129</v>
      </c>
      <c r="B176" t="s">
        <v>796</v>
      </c>
      <c r="C176" t="s">
        <v>864</v>
      </c>
      <c r="F176" t="s">
        <v>1130</v>
      </c>
      <c r="G176" t="s">
        <v>899</v>
      </c>
    </row>
    <row r="177" spans="1:7">
      <c r="A177" t="s">
        <v>1131</v>
      </c>
      <c r="B177" t="s">
        <v>796</v>
      </c>
      <c r="C177" t="s">
        <v>864</v>
      </c>
      <c r="E177" t="s">
        <v>865</v>
      </c>
      <c r="F177" t="s">
        <v>1132</v>
      </c>
      <c r="G177" t="s">
        <v>899</v>
      </c>
    </row>
    <row r="178" spans="1:7">
      <c r="A178" t="s">
        <v>1133</v>
      </c>
      <c r="B178" t="s">
        <v>796</v>
      </c>
      <c r="C178" t="s">
        <v>864</v>
      </c>
      <c r="E178" t="s">
        <v>865</v>
      </c>
      <c r="F178" t="s">
        <v>1134</v>
      </c>
      <c r="G178" t="s">
        <v>899</v>
      </c>
    </row>
    <row r="179" spans="1:7">
      <c r="A179" t="s">
        <v>1135</v>
      </c>
      <c r="B179" t="s">
        <v>796</v>
      </c>
      <c r="C179" t="s">
        <v>864</v>
      </c>
      <c r="F179" t="s">
        <v>1136</v>
      </c>
      <c r="G179" t="s">
        <v>899</v>
      </c>
    </row>
    <row r="180" spans="1:7">
      <c r="A180" t="s">
        <v>1137</v>
      </c>
      <c r="B180" t="s">
        <v>796</v>
      </c>
      <c r="C180" t="s">
        <v>864</v>
      </c>
      <c r="F180" t="s">
        <v>1138</v>
      </c>
      <c r="G180" t="s">
        <v>899</v>
      </c>
    </row>
    <row r="181" spans="1:7">
      <c r="A181" t="s">
        <v>1139</v>
      </c>
      <c r="B181" t="s">
        <v>796</v>
      </c>
      <c r="C181" t="s">
        <v>864</v>
      </c>
      <c r="E181" t="s">
        <v>865</v>
      </c>
      <c r="F181" t="s">
        <v>1140</v>
      </c>
      <c r="G181" t="s">
        <v>899</v>
      </c>
    </row>
    <row r="182" spans="1:7">
      <c r="A182" t="s">
        <v>1141</v>
      </c>
      <c r="B182" t="s">
        <v>796</v>
      </c>
      <c r="C182" t="s">
        <v>864</v>
      </c>
      <c r="F182" t="s">
        <v>1142</v>
      </c>
      <c r="G182" t="s">
        <v>899</v>
      </c>
    </row>
    <row r="183" spans="1:7">
      <c r="A183" t="s">
        <v>1143</v>
      </c>
      <c r="B183" t="s">
        <v>796</v>
      </c>
      <c r="C183" t="s">
        <v>864</v>
      </c>
      <c r="F183" t="s">
        <v>1144</v>
      </c>
      <c r="G183" t="s">
        <v>899</v>
      </c>
    </row>
    <row r="184" spans="1:7">
      <c r="A184" t="s">
        <v>1145</v>
      </c>
      <c r="B184" t="s">
        <v>796</v>
      </c>
      <c r="C184" t="s">
        <v>864</v>
      </c>
      <c r="F184" t="s">
        <v>1146</v>
      </c>
      <c r="G184" t="s">
        <v>899</v>
      </c>
    </row>
    <row r="185" spans="1:7">
      <c r="A185" t="s">
        <v>1147</v>
      </c>
      <c r="B185" t="s">
        <v>796</v>
      </c>
      <c r="C185" t="s">
        <v>864</v>
      </c>
      <c r="F185" t="s">
        <v>1148</v>
      </c>
      <c r="G185" t="s">
        <v>899</v>
      </c>
    </row>
    <row r="186" spans="1:7">
      <c r="A186" t="s">
        <v>1149</v>
      </c>
      <c r="B186" t="s">
        <v>796</v>
      </c>
      <c r="C186" t="s">
        <v>864</v>
      </c>
      <c r="F186" t="s">
        <v>1150</v>
      </c>
      <c r="G186" t="s">
        <v>899</v>
      </c>
    </row>
    <row r="187" spans="1:7">
      <c r="A187" t="s">
        <v>1151</v>
      </c>
      <c r="B187" t="s">
        <v>796</v>
      </c>
      <c r="C187" t="s">
        <v>864</v>
      </c>
      <c r="F187" t="s">
        <v>1152</v>
      </c>
      <c r="G187" t="s">
        <v>899</v>
      </c>
    </row>
    <row r="188" spans="1:7">
      <c r="A188" t="s">
        <v>1153</v>
      </c>
      <c r="B188" t="s">
        <v>796</v>
      </c>
      <c r="C188" t="s">
        <v>864</v>
      </c>
      <c r="F188" t="s">
        <v>1154</v>
      </c>
      <c r="G188" t="s">
        <v>899</v>
      </c>
    </row>
    <row r="189" spans="1:7">
      <c r="A189" t="s">
        <v>1155</v>
      </c>
      <c r="B189" t="s">
        <v>796</v>
      </c>
      <c r="C189" t="s">
        <v>864</v>
      </c>
      <c r="F189" t="s">
        <v>1156</v>
      </c>
      <c r="G189" t="s">
        <v>899</v>
      </c>
    </row>
    <row r="190" spans="1:7">
      <c r="A190" t="s">
        <v>1157</v>
      </c>
      <c r="B190" t="s">
        <v>796</v>
      </c>
      <c r="C190" t="s">
        <v>864</v>
      </c>
      <c r="F190" t="s">
        <v>1158</v>
      </c>
      <c r="G190" t="s">
        <v>899</v>
      </c>
    </row>
    <row r="191" spans="1:7">
      <c r="A191" t="s">
        <v>1159</v>
      </c>
      <c r="B191" t="s">
        <v>796</v>
      </c>
      <c r="C191" t="s">
        <v>864</v>
      </c>
      <c r="F191" t="s">
        <v>1160</v>
      </c>
      <c r="G191" t="s">
        <v>899</v>
      </c>
    </row>
    <row r="192" spans="1:7">
      <c r="A192" t="s">
        <v>1161</v>
      </c>
      <c r="B192" t="s">
        <v>796</v>
      </c>
      <c r="C192" t="s">
        <v>864</v>
      </c>
      <c r="E192" t="s">
        <v>865</v>
      </c>
      <c r="G192" t="s">
        <v>1162</v>
      </c>
    </row>
    <row r="193" spans="1:7">
      <c r="A193" t="s">
        <v>1163</v>
      </c>
      <c r="B193" t="s">
        <v>796</v>
      </c>
      <c r="C193" t="s">
        <v>864</v>
      </c>
      <c r="E193" t="s">
        <v>865</v>
      </c>
      <c r="F193" t="s">
        <v>1164</v>
      </c>
      <c r="G193" t="s">
        <v>899</v>
      </c>
    </row>
    <row r="194" spans="1:7">
      <c r="A194" t="s">
        <v>1165</v>
      </c>
      <c r="B194" t="s">
        <v>796</v>
      </c>
      <c r="C194" t="s">
        <v>864</v>
      </c>
      <c r="E194" t="s">
        <v>865</v>
      </c>
      <c r="F194" t="s">
        <v>1166</v>
      </c>
      <c r="G194" t="s">
        <v>899</v>
      </c>
    </row>
    <row r="195" spans="1:7">
      <c r="A195" t="s">
        <v>1167</v>
      </c>
      <c r="B195" t="s">
        <v>796</v>
      </c>
      <c r="C195" t="s">
        <v>864</v>
      </c>
      <c r="F195" t="s">
        <v>1168</v>
      </c>
      <c r="G195" t="s">
        <v>899</v>
      </c>
    </row>
    <row r="196" spans="1:7">
      <c r="A196" t="s">
        <v>1169</v>
      </c>
      <c r="B196" t="s">
        <v>796</v>
      </c>
      <c r="C196" t="s">
        <v>864</v>
      </c>
      <c r="F196" t="s">
        <v>1170</v>
      </c>
      <c r="G196" t="s">
        <v>899</v>
      </c>
    </row>
    <row r="197" spans="1:7">
      <c r="A197" t="s">
        <v>1171</v>
      </c>
      <c r="B197" t="s">
        <v>796</v>
      </c>
      <c r="C197" t="s">
        <v>864</v>
      </c>
      <c r="F197" t="s">
        <v>1172</v>
      </c>
      <c r="G197" t="s">
        <v>899</v>
      </c>
    </row>
    <row r="198" spans="1:7">
      <c r="A198" t="s">
        <v>1173</v>
      </c>
      <c r="B198" t="s">
        <v>796</v>
      </c>
      <c r="C198" t="s">
        <v>864</v>
      </c>
      <c r="F198" t="s">
        <v>1174</v>
      </c>
      <c r="G198" t="s">
        <v>899</v>
      </c>
    </row>
    <row r="199" spans="1:7">
      <c r="A199" t="s">
        <v>1175</v>
      </c>
      <c r="B199" t="s">
        <v>796</v>
      </c>
      <c r="C199" t="s">
        <v>864</v>
      </c>
      <c r="E199" t="s">
        <v>948</v>
      </c>
      <c r="F199" t="s">
        <v>1176</v>
      </c>
      <c r="G199" t="s">
        <v>880</v>
      </c>
    </row>
    <row r="200" spans="1:7">
      <c r="A200" t="s">
        <v>1177</v>
      </c>
      <c r="B200" t="s">
        <v>796</v>
      </c>
      <c r="C200" t="s">
        <v>864</v>
      </c>
      <c r="E200" t="s">
        <v>885</v>
      </c>
      <c r="F200" t="s">
        <v>1178</v>
      </c>
      <c r="G200" t="s">
        <v>880</v>
      </c>
    </row>
    <row r="201" spans="1:7">
      <c r="A201" t="s">
        <v>1179</v>
      </c>
      <c r="B201" t="s">
        <v>796</v>
      </c>
      <c r="C201" t="s">
        <v>864</v>
      </c>
      <c r="E201" t="s">
        <v>882</v>
      </c>
      <c r="F201" t="s">
        <v>1180</v>
      </c>
      <c r="G201" t="s">
        <v>880</v>
      </c>
    </row>
    <row r="202" spans="1:7">
      <c r="A202" t="s">
        <v>1181</v>
      </c>
      <c r="B202" t="s">
        <v>796</v>
      </c>
      <c r="C202" t="s">
        <v>864</v>
      </c>
      <c r="G202" t="s">
        <v>899</v>
      </c>
    </row>
    <row r="203" spans="1:7">
      <c r="A203" t="s">
        <v>1182</v>
      </c>
      <c r="B203" t="s">
        <v>796</v>
      </c>
      <c r="C203" t="s">
        <v>864</v>
      </c>
      <c r="F203" t="s">
        <v>1183</v>
      </c>
      <c r="G203" t="s">
        <v>899</v>
      </c>
    </row>
    <row r="204" spans="1:7">
      <c r="A204" t="s">
        <v>1184</v>
      </c>
      <c r="B204" t="s">
        <v>796</v>
      </c>
      <c r="C204" t="s">
        <v>864</v>
      </c>
      <c r="E204" t="s">
        <v>882</v>
      </c>
      <c r="F204" t="s">
        <v>1185</v>
      </c>
      <c r="G204" t="s">
        <v>880</v>
      </c>
    </row>
    <row r="205" spans="1:7">
      <c r="A205" t="s">
        <v>1186</v>
      </c>
      <c r="B205" t="s">
        <v>796</v>
      </c>
      <c r="C205" t="s">
        <v>864</v>
      </c>
      <c r="F205" t="s">
        <v>1187</v>
      </c>
      <c r="G205" t="s">
        <v>899</v>
      </c>
    </row>
    <row r="206" spans="1:7">
      <c r="A206" t="s">
        <v>1188</v>
      </c>
      <c r="B206" t="s">
        <v>796</v>
      </c>
      <c r="C206" t="s">
        <v>864</v>
      </c>
      <c r="F206" t="s">
        <v>1189</v>
      </c>
      <c r="G206" t="s">
        <v>899</v>
      </c>
    </row>
    <row r="207" spans="1:7">
      <c r="A207" t="s">
        <v>1190</v>
      </c>
      <c r="B207" t="s">
        <v>796</v>
      </c>
      <c r="C207" t="s">
        <v>864</v>
      </c>
      <c r="F207" t="s">
        <v>1191</v>
      </c>
      <c r="G207" t="s">
        <v>899</v>
      </c>
    </row>
    <row r="208" spans="1:7">
      <c r="A208" t="s">
        <v>1192</v>
      </c>
      <c r="B208" t="s">
        <v>796</v>
      </c>
      <c r="C208" t="s">
        <v>864</v>
      </c>
      <c r="F208" t="s">
        <v>1193</v>
      </c>
      <c r="G208" t="s">
        <v>899</v>
      </c>
    </row>
    <row r="209" spans="1:7">
      <c r="A209" t="s">
        <v>1194</v>
      </c>
      <c r="B209" t="s">
        <v>796</v>
      </c>
      <c r="C209" t="s">
        <v>864</v>
      </c>
      <c r="F209" t="s">
        <v>1195</v>
      </c>
      <c r="G209" t="s">
        <v>899</v>
      </c>
    </row>
    <row r="210" spans="1:7">
      <c r="A210" t="s">
        <v>1196</v>
      </c>
      <c r="B210" t="s">
        <v>796</v>
      </c>
      <c r="C210" t="s">
        <v>864</v>
      </c>
      <c r="F210" t="s">
        <v>1197</v>
      </c>
      <c r="G210" t="s">
        <v>899</v>
      </c>
    </row>
    <row r="211" spans="1:7">
      <c r="A211" t="s">
        <v>1198</v>
      </c>
      <c r="B211" t="s">
        <v>796</v>
      </c>
      <c r="C211" t="s">
        <v>864</v>
      </c>
      <c r="F211" t="s">
        <v>1199</v>
      </c>
      <c r="G211" t="s">
        <v>899</v>
      </c>
    </row>
    <row r="212" spans="1:7">
      <c r="A212" t="s">
        <v>1200</v>
      </c>
      <c r="B212" t="s">
        <v>796</v>
      </c>
      <c r="C212" t="s">
        <v>864</v>
      </c>
      <c r="E212" t="s">
        <v>842</v>
      </c>
      <c r="F212" t="s">
        <v>1201</v>
      </c>
      <c r="G212" t="s">
        <v>880</v>
      </c>
    </row>
    <row r="213" spans="1:7">
      <c r="A213" t="s">
        <v>1202</v>
      </c>
      <c r="B213" t="s">
        <v>796</v>
      </c>
      <c r="C213" t="s">
        <v>864</v>
      </c>
      <c r="F213" t="s">
        <v>1203</v>
      </c>
      <c r="G213" t="s">
        <v>899</v>
      </c>
    </row>
    <row r="214" spans="1:7">
      <c r="A214" t="s">
        <v>1204</v>
      </c>
      <c r="B214" t="s">
        <v>796</v>
      </c>
      <c r="C214" t="s">
        <v>864</v>
      </c>
      <c r="E214" t="s">
        <v>865</v>
      </c>
      <c r="F214" t="s">
        <v>1205</v>
      </c>
      <c r="G214" t="s">
        <v>899</v>
      </c>
    </row>
    <row r="215" spans="1:7">
      <c r="A215" t="s">
        <v>1206</v>
      </c>
      <c r="B215" t="s">
        <v>796</v>
      </c>
      <c r="C215" t="s">
        <v>864</v>
      </c>
      <c r="E215" t="s">
        <v>882</v>
      </c>
      <c r="F215" t="s">
        <v>1207</v>
      </c>
      <c r="G215" t="s">
        <v>880</v>
      </c>
    </row>
    <row r="216" spans="1:7">
      <c r="A216" t="s">
        <v>1208</v>
      </c>
      <c r="B216" t="s">
        <v>796</v>
      </c>
      <c r="C216" t="s">
        <v>864</v>
      </c>
      <c r="E216" t="s">
        <v>882</v>
      </c>
      <c r="F216" t="s">
        <v>1209</v>
      </c>
      <c r="G216" t="s">
        <v>880</v>
      </c>
    </row>
    <row r="217" spans="1:7">
      <c r="A217" t="s">
        <v>1210</v>
      </c>
      <c r="B217" t="s">
        <v>796</v>
      </c>
      <c r="C217" t="s">
        <v>864</v>
      </c>
      <c r="E217" t="s">
        <v>865</v>
      </c>
      <c r="F217" t="s">
        <v>1211</v>
      </c>
      <c r="G217" t="s">
        <v>899</v>
      </c>
    </row>
    <row r="218" spans="1:7">
      <c r="A218" t="s">
        <v>1212</v>
      </c>
      <c r="B218" t="s">
        <v>796</v>
      </c>
      <c r="C218" t="s">
        <v>864</v>
      </c>
      <c r="F218" t="s">
        <v>1213</v>
      </c>
      <c r="G218" t="s">
        <v>899</v>
      </c>
    </row>
    <row r="219" spans="1:7">
      <c r="A219" t="s">
        <v>1214</v>
      </c>
      <c r="B219" t="s">
        <v>796</v>
      </c>
      <c r="C219" t="s">
        <v>864</v>
      </c>
      <c r="F219" t="s">
        <v>1215</v>
      </c>
      <c r="G219" t="s">
        <v>899</v>
      </c>
    </row>
    <row r="220" spans="1:7">
      <c r="A220" t="s">
        <v>1216</v>
      </c>
      <c r="B220" t="s">
        <v>796</v>
      </c>
      <c r="C220" t="s">
        <v>864</v>
      </c>
      <c r="F220" t="s">
        <v>1217</v>
      </c>
      <c r="G220" t="s">
        <v>899</v>
      </c>
    </row>
    <row r="221" spans="1:7">
      <c r="A221" t="s">
        <v>1218</v>
      </c>
      <c r="B221" t="s">
        <v>796</v>
      </c>
      <c r="C221" t="s">
        <v>864</v>
      </c>
      <c r="F221" t="s">
        <v>1219</v>
      </c>
      <c r="G221" t="s">
        <v>899</v>
      </c>
    </row>
    <row r="222" spans="1:7">
      <c r="A222" t="s">
        <v>1220</v>
      </c>
      <c r="B222" t="s">
        <v>796</v>
      </c>
      <c r="C222" t="s">
        <v>864</v>
      </c>
      <c r="E222" t="s">
        <v>948</v>
      </c>
      <c r="F222" t="s">
        <v>1221</v>
      </c>
      <c r="G222" t="s">
        <v>899</v>
      </c>
    </row>
    <row r="223" spans="1:7">
      <c r="A223" t="s">
        <v>1222</v>
      </c>
      <c r="B223" t="s">
        <v>796</v>
      </c>
      <c r="C223" t="s">
        <v>864</v>
      </c>
      <c r="E223" t="s">
        <v>865</v>
      </c>
      <c r="F223" t="s">
        <v>1223</v>
      </c>
      <c r="G223" t="s">
        <v>867</v>
      </c>
    </row>
    <row r="224" spans="1:7">
      <c r="A224" t="s">
        <v>1224</v>
      </c>
      <c r="B224" t="s">
        <v>796</v>
      </c>
      <c r="C224" t="s">
        <v>864</v>
      </c>
      <c r="E224" t="s">
        <v>948</v>
      </c>
      <c r="F224" t="s">
        <v>1225</v>
      </c>
      <c r="G224" t="s">
        <v>899</v>
      </c>
    </row>
    <row r="225" spans="1:7">
      <c r="A225" t="s">
        <v>1226</v>
      </c>
      <c r="B225" t="s">
        <v>796</v>
      </c>
      <c r="C225" t="s">
        <v>864</v>
      </c>
      <c r="F225" t="s">
        <v>1227</v>
      </c>
      <c r="G225" t="s">
        <v>899</v>
      </c>
    </row>
    <row r="226" spans="1:7">
      <c r="A226" t="s">
        <v>1228</v>
      </c>
      <c r="B226" t="s">
        <v>796</v>
      </c>
      <c r="C226" t="s">
        <v>864</v>
      </c>
      <c r="E226" t="s">
        <v>882</v>
      </c>
      <c r="F226" t="s">
        <v>1229</v>
      </c>
      <c r="G226" t="s">
        <v>880</v>
      </c>
    </row>
    <row r="227" spans="1:7">
      <c r="A227" t="s">
        <v>1230</v>
      </c>
      <c r="B227" t="s">
        <v>796</v>
      </c>
      <c r="C227" t="s">
        <v>864</v>
      </c>
      <c r="E227" t="s">
        <v>948</v>
      </c>
      <c r="F227" t="s">
        <v>1231</v>
      </c>
      <c r="G227" t="s">
        <v>899</v>
      </c>
    </row>
    <row r="228" spans="1:7">
      <c r="A228" t="s">
        <v>1232</v>
      </c>
      <c r="B228" t="s">
        <v>796</v>
      </c>
      <c r="C228" t="s">
        <v>864</v>
      </c>
      <c r="F228" t="s">
        <v>1233</v>
      </c>
      <c r="G228" t="s">
        <v>899</v>
      </c>
    </row>
    <row r="229" spans="1:7">
      <c r="A229" t="s">
        <v>1234</v>
      </c>
      <c r="B229" t="s">
        <v>796</v>
      </c>
      <c r="C229" t="s">
        <v>864</v>
      </c>
      <c r="E229" t="s">
        <v>948</v>
      </c>
      <c r="F229" t="s">
        <v>1235</v>
      </c>
      <c r="G229" t="s">
        <v>899</v>
      </c>
    </row>
    <row r="230" spans="1:7">
      <c r="A230" t="s">
        <v>1236</v>
      </c>
      <c r="B230" t="s">
        <v>796</v>
      </c>
      <c r="C230" t="s">
        <v>864</v>
      </c>
      <c r="E230" t="s">
        <v>948</v>
      </c>
      <c r="F230" t="s">
        <v>1237</v>
      </c>
      <c r="G230" t="s">
        <v>899</v>
      </c>
    </row>
    <row r="231" spans="1:7">
      <c r="A231" t="s">
        <v>1238</v>
      </c>
      <c r="B231" t="s">
        <v>796</v>
      </c>
      <c r="C231" t="s">
        <v>864</v>
      </c>
      <c r="F231" t="s">
        <v>1239</v>
      </c>
      <c r="G231" t="s">
        <v>899</v>
      </c>
    </row>
    <row r="232" spans="1:7">
      <c r="A232" t="s">
        <v>1240</v>
      </c>
      <c r="B232" t="s">
        <v>796</v>
      </c>
      <c r="C232" t="s">
        <v>864</v>
      </c>
      <c r="E232" t="s">
        <v>948</v>
      </c>
      <c r="F232" t="s">
        <v>1241</v>
      </c>
      <c r="G232" t="s">
        <v>899</v>
      </c>
    </row>
    <row r="233" spans="1:7">
      <c r="A233" t="s">
        <v>1242</v>
      </c>
      <c r="B233" t="s">
        <v>796</v>
      </c>
      <c r="C233" t="s">
        <v>864</v>
      </c>
      <c r="E233" t="s">
        <v>948</v>
      </c>
      <c r="F233" t="s">
        <v>1243</v>
      </c>
      <c r="G233" t="s">
        <v>899</v>
      </c>
    </row>
    <row r="234" spans="1:7">
      <c r="A234" t="s">
        <v>1244</v>
      </c>
      <c r="B234" t="s">
        <v>796</v>
      </c>
      <c r="C234" t="s">
        <v>864</v>
      </c>
      <c r="F234" t="s">
        <v>1245</v>
      </c>
      <c r="G234" t="s">
        <v>899</v>
      </c>
    </row>
    <row r="235" spans="1:7">
      <c r="A235" t="s">
        <v>1246</v>
      </c>
      <c r="B235" t="s">
        <v>796</v>
      </c>
      <c r="C235" t="s">
        <v>864</v>
      </c>
      <c r="E235" t="s">
        <v>885</v>
      </c>
      <c r="F235" t="s">
        <v>1247</v>
      </c>
      <c r="G235" t="s">
        <v>880</v>
      </c>
    </row>
    <row r="236" spans="1:7">
      <c r="A236" t="s">
        <v>1248</v>
      </c>
      <c r="B236" t="s">
        <v>796</v>
      </c>
      <c r="C236" t="s">
        <v>864</v>
      </c>
      <c r="E236" t="s">
        <v>882</v>
      </c>
      <c r="F236" t="s">
        <v>1249</v>
      </c>
      <c r="G236" t="s">
        <v>899</v>
      </c>
    </row>
    <row r="237" spans="1:7">
      <c r="A237" t="s">
        <v>1250</v>
      </c>
      <c r="B237" t="s">
        <v>796</v>
      </c>
      <c r="C237" t="s">
        <v>864</v>
      </c>
      <c r="E237" t="s">
        <v>882</v>
      </c>
      <c r="F237" t="s">
        <v>1251</v>
      </c>
      <c r="G237" t="s">
        <v>899</v>
      </c>
    </row>
    <row r="238" spans="1:7">
      <c r="A238" t="s">
        <v>1252</v>
      </c>
      <c r="B238" t="s">
        <v>796</v>
      </c>
      <c r="C238" t="s">
        <v>864</v>
      </c>
      <c r="E238" t="s">
        <v>854</v>
      </c>
      <c r="G238" t="s">
        <v>899</v>
      </c>
    </row>
    <row r="239" spans="1:7">
      <c r="A239" t="s">
        <v>1253</v>
      </c>
      <c r="B239" t="s">
        <v>796</v>
      </c>
      <c r="C239" t="s">
        <v>864</v>
      </c>
      <c r="E239" t="s">
        <v>882</v>
      </c>
      <c r="F239" t="s">
        <v>1254</v>
      </c>
      <c r="G239" t="s">
        <v>899</v>
      </c>
    </row>
    <row r="240" spans="1:7">
      <c r="A240" t="s">
        <v>1255</v>
      </c>
      <c r="B240" t="s">
        <v>796</v>
      </c>
      <c r="C240" t="s">
        <v>864</v>
      </c>
      <c r="E240" t="s">
        <v>882</v>
      </c>
      <c r="F240" t="s">
        <v>1256</v>
      </c>
      <c r="G240" t="s">
        <v>880</v>
      </c>
    </row>
    <row r="241" spans="1:7">
      <c r="A241" t="s">
        <v>1257</v>
      </c>
      <c r="B241" t="s">
        <v>796</v>
      </c>
      <c r="C241" t="s">
        <v>864</v>
      </c>
      <c r="E241" t="s">
        <v>882</v>
      </c>
      <c r="F241" t="s">
        <v>1258</v>
      </c>
      <c r="G241" t="s">
        <v>880</v>
      </c>
    </row>
    <row r="242" spans="1:7">
      <c r="A242" t="s">
        <v>1259</v>
      </c>
      <c r="B242" t="s">
        <v>796</v>
      </c>
      <c r="C242" t="s">
        <v>864</v>
      </c>
      <c r="E242" t="s">
        <v>842</v>
      </c>
      <c r="F242" t="s">
        <v>1260</v>
      </c>
      <c r="G242" t="s">
        <v>899</v>
      </c>
    </row>
    <row r="243" spans="1:7">
      <c r="A243" t="s">
        <v>1261</v>
      </c>
      <c r="B243" t="s">
        <v>796</v>
      </c>
      <c r="C243" t="s">
        <v>864</v>
      </c>
      <c r="E243" t="s">
        <v>882</v>
      </c>
      <c r="F243" t="s">
        <v>1262</v>
      </c>
      <c r="G243" t="s">
        <v>880</v>
      </c>
    </row>
    <row r="244" spans="1:7">
      <c r="A244" t="s">
        <v>1263</v>
      </c>
      <c r="B244" t="s">
        <v>796</v>
      </c>
      <c r="C244" t="s">
        <v>864</v>
      </c>
      <c r="E244" t="s">
        <v>948</v>
      </c>
      <c r="F244" t="s">
        <v>1264</v>
      </c>
      <c r="G244" t="s">
        <v>880</v>
      </c>
    </row>
    <row r="245" spans="1:7">
      <c r="A245" t="s">
        <v>1265</v>
      </c>
      <c r="B245" t="s">
        <v>796</v>
      </c>
      <c r="C245" t="s">
        <v>864</v>
      </c>
      <c r="E245" t="s">
        <v>842</v>
      </c>
      <c r="F245" t="s">
        <v>1266</v>
      </c>
      <c r="G245" t="s">
        <v>899</v>
      </c>
    </row>
    <row r="246" spans="1:7">
      <c r="A246" t="s">
        <v>1267</v>
      </c>
      <c r="B246" t="s">
        <v>796</v>
      </c>
      <c r="C246" t="s">
        <v>864</v>
      </c>
      <c r="E246" t="s">
        <v>948</v>
      </c>
      <c r="F246" t="s">
        <v>1268</v>
      </c>
      <c r="G246" t="s">
        <v>899</v>
      </c>
    </row>
    <row r="247" spans="1:7">
      <c r="A247" t="s">
        <v>1269</v>
      </c>
      <c r="B247" t="s">
        <v>796</v>
      </c>
      <c r="C247" t="s">
        <v>864</v>
      </c>
      <c r="E247" t="s">
        <v>842</v>
      </c>
      <c r="F247" t="s">
        <v>1270</v>
      </c>
      <c r="G247" t="s">
        <v>899</v>
      </c>
    </row>
    <row r="248" spans="1:7">
      <c r="A248" t="s">
        <v>1271</v>
      </c>
      <c r="B248" t="s">
        <v>796</v>
      </c>
      <c r="C248" t="s">
        <v>864</v>
      </c>
      <c r="E248" t="s">
        <v>948</v>
      </c>
      <c r="F248" t="s">
        <v>1272</v>
      </c>
      <c r="G248" t="s">
        <v>899</v>
      </c>
    </row>
    <row r="249" spans="1:7">
      <c r="A249" t="s">
        <v>1273</v>
      </c>
      <c r="B249" t="s">
        <v>796</v>
      </c>
      <c r="C249" t="s">
        <v>864</v>
      </c>
      <c r="E249" t="s">
        <v>842</v>
      </c>
      <c r="F249" t="s">
        <v>1274</v>
      </c>
      <c r="G249" t="s">
        <v>899</v>
      </c>
    </row>
    <row r="250" spans="1:7">
      <c r="A250" t="s">
        <v>1275</v>
      </c>
      <c r="B250" t="s">
        <v>796</v>
      </c>
      <c r="C250" t="s">
        <v>864</v>
      </c>
      <c r="E250" t="s">
        <v>948</v>
      </c>
      <c r="F250" t="s">
        <v>1276</v>
      </c>
      <c r="G250" t="s">
        <v>899</v>
      </c>
    </row>
    <row r="251" spans="1:7">
      <c r="A251" t="s">
        <v>1277</v>
      </c>
      <c r="B251" t="s">
        <v>796</v>
      </c>
      <c r="C251" t="s">
        <v>864</v>
      </c>
      <c r="E251" t="s">
        <v>842</v>
      </c>
      <c r="F251" t="s">
        <v>1278</v>
      </c>
      <c r="G251" t="s">
        <v>899</v>
      </c>
    </row>
    <row r="252" spans="1:7">
      <c r="A252" t="s">
        <v>1279</v>
      </c>
      <c r="B252" t="s">
        <v>796</v>
      </c>
      <c r="C252" t="s">
        <v>864</v>
      </c>
      <c r="E252" t="s">
        <v>842</v>
      </c>
      <c r="F252" t="s">
        <v>1280</v>
      </c>
      <c r="G252" t="s">
        <v>899</v>
      </c>
    </row>
    <row r="253" spans="1:7">
      <c r="A253" t="s">
        <v>1281</v>
      </c>
      <c r="B253" t="s">
        <v>796</v>
      </c>
      <c r="C253" t="s">
        <v>864</v>
      </c>
      <c r="E253" t="s">
        <v>842</v>
      </c>
      <c r="F253" t="s">
        <v>1282</v>
      </c>
      <c r="G253" t="s">
        <v>899</v>
      </c>
    </row>
    <row r="254" spans="1:7">
      <c r="A254" t="s">
        <v>1283</v>
      </c>
      <c r="B254" t="s">
        <v>796</v>
      </c>
      <c r="C254" t="s">
        <v>864</v>
      </c>
      <c r="E254" t="s">
        <v>885</v>
      </c>
      <c r="F254" t="s">
        <v>1284</v>
      </c>
      <c r="G254" t="s">
        <v>899</v>
      </c>
    </row>
    <row r="255" spans="1:7">
      <c r="A255" t="s">
        <v>1285</v>
      </c>
      <c r="B255" t="s">
        <v>796</v>
      </c>
      <c r="C255" t="s">
        <v>864</v>
      </c>
      <c r="E255" t="s">
        <v>948</v>
      </c>
      <c r="F255" t="s">
        <v>1286</v>
      </c>
      <c r="G255" t="s">
        <v>880</v>
      </c>
    </row>
    <row r="256" spans="1:7">
      <c r="A256" t="s">
        <v>1287</v>
      </c>
      <c r="B256" t="s">
        <v>796</v>
      </c>
      <c r="C256" t="s">
        <v>864</v>
      </c>
      <c r="E256" t="s">
        <v>842</v>
      </c>
      <c r="F256" t="s">
        <v>1288</v>
      </c>
      <c r="G256" t="s">
        <v>899</v>
      </c>
    </row>
    <row r="257" spans="1:7">
      <c r="A257" t="s">
        <v>1289</v>
      </c>
      <c r="B257" t="s">
        <v>796</v>
      </c>
      <c r="C257" t="s">
        <v>864</v>
      </c>
      <c r="E257" t="s">
        <v>948</v>
      </c>
      <c r="F257" t="s">
        <v>1290</v>
      </c>
      <c r="G257" t="s">
        <v>899</v>
      </c>
    </row>
    <row r="258" spans="1:7">
      <c r="A258" t="s">
        <v>1291</v>
      </c>
      <c r="B258" t="s">
        <v>796</v>
      </c>
      <c r="C258" t="s">
        <v>864</v>
      </c>
      <c r="E258" t="s">
        <v>842</v>
      </c>
      <c r="F258" t="s">
        <v>1292</v>
      </c>
      <c r="G258" t="s">
        <v>899</v>
      </c>
    </row>
    <row r="259" spans="1:7">
      <c r="A259" t="s">
        <v>1293</v>
      </c>
      <c r="B259" t="s">
        <v>796</v>
      </c>
      <c r="C259" t="s">
        <v>864</v>
      </c>
      <c r="E259" t="s">
        <v>948</v>
      </c>
      <c r="F259" t="s">
        <v>1294</v>
      </c>
      <c r="G259" t="s">
        <v>899</v>
      </c>
    </row>
    <row r="260" spans="1:7">
      <c r="A260" t="s">
        <v>1295</v>
      </c>
      <c r="B260" t="s">
        <v>796</v>
      </c>
      <c r="C260" t="s">
        <v>864</v>
      </c>
      <c r="E260" t="s">
        <v>842</v>
      </c>
      <c r="F260" t="s">
        <v>1296</v>
      </c>
      <c r="G260" t="s">
        <v>899</v>
      </c>
    </row>
    <row r="261" spans="1:7">
      <c r="A261" t="s">
        <v>1297</v>
      </c>
      <c r="B261" t="s">
        <v>796</v>
      </c>
      <c r="C261" t="s">
        <v>864</v>
      </c>
      <c r="E261" t="s">
        <v>842</v>
      </c>
      <c r="F261" t="s">
        <v>1298</v>
      </c>
      <c r="G261" t="s">
        <v>899</v>
      </c>
    </row>
    <row r="262" spans="1:7">
      <c r="A262" t="s">
        <v>1299</v>
      </c>
      <c r="B262" t="s">
        <v>796</v>
      </c>
      <c r="C262" t="s">
        <v>864</v>
      </c>
      <c r="E262" t="s">
        <v>842</v>
      </c>
      <c r="F262" t="s">
        <v>1300</v>
      </c>
      <c r="G262" t="s">
        <v>899</v>
      </c>
    </row>
    <row r="263" spans="1:7">
      <c r="A263" t="s">
        <v>1301</v>
      </c>
      <c r="B263" t="s">
        <v>796</v>
      </c>
      <c r="C263" t="s">
        <v>864</v>
      </c>
      <c r="E263" t="s">
        <v>842</v>
      </c>
      <c r="F263" t="s">
        <v>1302</v>
      </c>
      <c r="G263" t="s">
        <v>899</v>
      </c>
    </row>
    <row r="264" spans="1:7">
      <c r="A264" t="s">
        <v>1303</v>
      </c>
      <c r="B264" t="s">
        <v>796</v>
      </c>
      <c r="C264" t="s">
        <v>864</v>
      </c>
      <c r="E264" t="s">
        <v>842</v>
      </c>
      <c r="F264" t="s">
        <v>1304</v>
      </c>
      <c r="G264" t="s">
        <v>899</v>
      </c>
    </row>
    <row r="265" spans="1:7">
      <c r="A265" t="s">
        <v>1305</v>
      </c>
      <c r="B265" t="s">
        <v>796</v>
      </c>
      <c r="C265" t="s">
        <v>864</v>
      </c>
      <c r="E265" t="s">
        <v>948</v>
      </c>
      <c r="F265" t="s">
        <v>1306</v>
      </c>
      <c r="G265" t="s">
        <v>899</v>
      </c>
    </row>
    <row r="266" spans="1:7">
      <c r="A266" t="s">
        <v>1307</v>
      </c>
      <c r="B266" t="s">
        <v>796</v>
      </c>
      <c r="C266" t="s">
        <v>864</v>
      </c>
      <c r="E266" t="s">
        <v>842</v>
      </c>
      <c r="F266" t="s">
        <v>1308</v>
      </c>
      <c r="G266" t="s">
        <v>899</v>
      </c>
    </row>
    <row r="267" spans="1:7">
      <c r="A267" t="s">
        <v>1309</v>
      </c>
      <c r="B267" t="s">
        <v>796</v>
      </c>
      <c r="C267" t="s">
        <v>864</v>
      </c>
      <c r="E267" t="s">
        <v>948</v>
      </c>
      <c r="F267" t="s">
        <v>1310</v>
      </c>
      <c r="G267" t="s">
        <v>899</v>
      </c>
    </row>
    <row r="268" spans="1:7">
      <c r="A268" t="s">
        <v>1311</v>
      </c>
      <c r="B268" t="s">
        <v>796</v>
      </c>
      <c r="C268" t="s">
        <v>864</v>
      </c>
      <c r="E268" t="s">
        <v>882</v>
      </c>
      <c r="F268" t="s">
        <v>1312</v>
      </c>
      <c r="G268" t="s">
        <v>880</v>
      </c>
    </row>
    <row r="269" spans="1:7">
      <c r="A269" t="s">
        <v>1313</v>
      </c>
      <c r="B269" t="s">
        <v>796</v>
      </c>
      <c r="C269" t="s">
        <v>864</v>
      </c>
      <c r="E269" t="s">
        <v>882</v>
      </c>
      <c r="F269" t="s">
        <v>1314</v>
      </c>
      <c r="G269" t="s">
        <v>899</v>
      </c>
    </row>
    <row r="270" spans="1:7">
      <c r="A270" t="s">
        <v>1315</v>
      </c>
      <c r="B270" t="s">
        <v>796</v>
      </c>
      <c r="C270" t="s">
        <v>864</v>
      </c>
      <c r="F270" t="s">
        <v>1316</v>
      </c>
      <c r="G270" t="s">
        <v>899</v>
      </c>
    </row>
    <row r="271" spans="1:7">
      <c r="A271" t="s">
        <v>1317</v>
      </c>
      <c r="B271" t="s">
        <v>796</v>
      </c>
      <c r="C271" t="s">
        <v>864</v>
      </c>
      <c r="E271" t="s">
        <v>842</v>
      </c>
      <c r="F271" t="s">
        <v>1318</v>
      </c>
      <c r="G271" t="s">
        <v>899</v>
      </c>
    </row>
    <row r="272" spans="1:7">
      <c r="A272" t="s">
        <v>1319</v>
      </c>
      <c r="B272" t="s">
        <v>796</v>
      </c>
      <c r="C272" t="s">
        <v>864</v>
      </c>
      <c r="E272" t="s">
        <v>842</v>
      </c>
      <c r="F272" t="s">
        <v>1320</v>
      </c>
      <c r="G272" t="s">
        <v>899</v>
      </c>
    </row>
    <row r="273" spans="1:7">
      <c r="A273" t="s">
        <v>1321</v>
      </c>
      <c r="B273" t="s">
        <v>796</v>
      </c>
      <c r="C273" t="s">
        <v>864</v>
      </c>
      <c r="F273" t="s">
        <v>1322</v>
      </c>
      <c r="G273" t="s">
        <v>899</v>
      </c>
    </row>
    <row r="274" spans="1:7">
      <c r="A274" t="s">
        <v>1323</v>
      </c>
      <c r="B274" t="s">
        <v>796</v>
      </c>
      <c r="C274" t="s">
        <v>864</v>
      </c>
      <c r="F274" t="s">
        <v>1324</v>
      </c>
      <c r="G274" t="s">
        <v>1162</v>
      </c>
    </row>
    <row r="275" spans="1:7">
      <c r="A275" t="s">
        <v>1325</v>
      </c>
      <c r="B275" t="s">
        <v>796</v>
      </c>
      <c r="C275" t="s">
        <v>864</v>
      </c>
      <c r="F275" t="s">
        <v>1326</v>
      </c>
      <c r="G275" t="s">
        <v>1162</v>
      </c>
    </row>
    <row r="276" spans="1:7">
      <c r="A276" t="s">
        <v>1327</v>
      </c>
      <c r="B276" t="s">
        <v>796</v>
      </c>
      <c r="C276" t="s">
        <v>864</v>
      </c>
      <c r="E276" t="s">
        <v>882</v>
      </c>
      <c r="F276" t="s">
        <v>1328</v>
      </c>
      <c r="G276" t="s">
        <v>1162</v>
      </c>
    </row>
    <row r="277" spans="1:7">
      <c r="A277" t="s">
        <v>1329</v>
      </c>
      <c r="B277" t="s">
        <v>796</v>
      </c>
      <c r="C277" t="s">
        <v>864</v>
      </c>
      <c r="F277" t="s">
        <v>1330</v>
      </c>
      <c r="G277" t="s">
        <v>1162</v>
      </c>
    </row>
    <row r="278" spans="1:7">
      <c r="A278" t="s">
        <v>1331</v>
      </c>
      <c r="B278" t="s">
        <v>796</v>
      </c>
      <c r="C278" t="s">
        <v>864</v>
      </c>
      <c r="E278" t="s">
        <v>948</v>
      </c>
      <c r="F278" t="s">
        <v>1332</v>
      </c>
      <c r="G278" t="s">
        <v>1162</v>
      </c>
    </row>
    <row r="279" spans="1:7">
      <c r="A279" t="s">
        <v>1333</v>
      </c>
      <c r="B279" t="s">
        <v>796</v>
      </c>
      <c r="C279" t="s">
        <v>864</v>
      </c>
      <c r="F279" t="s">
        <v>1334</v>
      </c>
      <c r="G279" t="s">
        <v>1162</v>
      </c>
    </row>
    <row r="280" spans="1:7">
      <c r="A280" t="s">
        <v>1335</v>
      </c>
      <c r="B280" t="s">
        <v>796</v>
      </c>
      <c r="C280" t="s">
        <v>864</v>
      </c>
      <c r="F280" t="s">
        <v>1336</v>
      </c>
      <c r="G280" t="s">
        <v>1162</v>
      </c>
    </row>
    <row r="281" spans="1:7">
      <c r="A281" t="s">
        <v>1337</v>
      </c>
      <c r="B281" t="s">
        <v>796</v>
      </c>
      <c r="C281" t="s">
        <v>864</v>
      </c>
      <c r="F281" t="s">
        <v>1338</v>
      </c>
      <c r="G281" t="s">
        <v>1162</v>
      </c>
    </row>
    <row r="282" spans="1:7">
      <c r="A282" t="s">
        <v>1339</v>
      </c>
      <c r="B282" t="s">
        <v>796</v>
      </c>
      <c r="C282" t="s">
        <v>864</v>
      </c>
      <c r="E282" t="s">
        <v>842</v>
      </c>
      <c r="F282" t="s">
        <v>1340</v>
      </c>
      <c r="G282" t="s">
        <v>899</v>
      </c>
    </row>
    <row r="283" spans="1:7">
      <c r="A283" t="s">
        <v>1341</v>
      </c>
      <c r="B283" t="s">
        <v>796</v>
      </c>
      <c r="C283" t="s">
        <v>864</v>
      </c>
      <c r="F283" t="s">
        <v>1342</v>
      </c>
      <c r="G283" t="s">
        <v>1162</v>
      </c>
    </row>
    <row r="284" spans="1:7">
      <c r="A284" t="s">
        <v>1343</v>
      </c>
      <c r="B284" t="s">
        <v>796</v>
      </c>
      <c r="C284" t="s">
        <v>864</v>
      </c>
      <c r="F284" t="s">
        <v>1344</v>
      </c>
      <c r="G284" t="s">
        <v>1162</v>
      </c>
    </row>
    <row r="285" spans="1:7">
      <c r="A285" t="s">
        <v>1345</v>
      </c>
      <c r="B285" t="s">
        <v>796</v>
      </c>
      <c r="C285" t="s">
        <v>864</v>
      </c>
      <c r="F285" t="s">
        <v>1346</v>
      </c>
      <c r="G285" t="s">
        <v>1162</v>
      </c>
    </row>
    <row r="286" spans="1:7">
      <c r="A286" t="s">
        <v>1347</v>
      </c>
      <c r="B286" t="s">
        <v>796</v>
      </c>
      <c r="C286" t="s">
        <v>864</v>
      </c>
      <c r="F286" t="s">
        <v>1348</v>
      </c>
      <c r="G286" t="s">
        <v>1162</v>
      </c>
    </row>
    <row r="287" spans="1:7">
      <c r="A287" t="s">
        <v>1349</v>
      </c>
      <c r="B287" t="s">
        <v>796</v>
      </c>
      <c r="C287" t="s">
        <v>864</v>
      </c>
      <c r="F287" t="s">
        <v>1350</v>
      </c>
      <c r="G287" t="s">
        <v>1162</v>
      </c>
    </row>
    <row r="288" spans="1:7">
      <c r="A288" t="s">
        <v>1351</v>
      </c>
      <c r="B288" t="s">
        <v>796</v>
      </c>
      <c r="C288" t="s">
        <v>864</v>
      </c>
      <c r="F288" t="s">
        <v>1352</v>
      </c>
      <c r="G288" t="s">
        <v>1162</v>
      </c>
    </row>
    <row r="289" spans="1:7">
      <c r="A289" t="s">
        <v>1353</v>
      </c>
      <c r="B289" t="s">
        <v>796</v>
      </c>
      <c r="C289" t="s">
        <v>864</v>
      </c>
      <c r="F289" t="s">
        <v>1354</v>
      </c>
      <c r="G289" t="s">
        <v>1162</v>
      </c>
    </row>
    <row r="290" spans="1:7">
      <c r="A290" t="s">
        <v>1355</v>
      </c>
      <c r="B290" t="s">
        <v>796</v>
      </c>
      <c r="C290" t="s">
        <v>864</v>
      </c>
      <c r="F290" t="s">
        <v>1356</v>
      </c>
      <c r="G290" t="s">
        <v>1162</v>
      </c>
    </row>
    <row r="291" spans="1:7">
      <c r="A291" t="s">
        <v>1357</v>
      </c>
      <c r="B291" t="s">
        <v>796</v>
      </c>
      <c r="C291" t="s">
        <v>864</v>
      </c>
      <c r="F291" t="s">
        <v>1358</v>
      </c>
      <c r="G291" t="s">
        <v>1162</v>
      </c>
    </row>
    <row r="292" spans="1:7">
      <c r="A292" t="s">
        <v>1359</v>
      </c>
      <c r="B292" t="s">
        <v>796</v>
      </c>
      <c r="C292" t="s">
        <v>864</v>
      </c>
      <c r="F292" t="s">
        <v>1360</v>
      </c>
      <c r="G292" t="s">
        <v>1162</v>
      </c>
    </row>
    <row r="293" spans="1:7">
      <c r="A293" t="s">
        <v>1361</v>
      </c>
      <c r="B293" t="s">
        <v>796</v>
      </c>
      <c r="C293" t="s">
        <v>864</v>
      </c>
      <c r="E293" t="s">
        <v>842</v>
      </c>
      <c r="F293" t="s">
        <v>1362</v>
      </c>
      <c r="G293" t="s">
        <v>899</v>
      </c>
    </row>
    <row r="294" spans="1:7">
      <c r="A294" t="s">
        <v>1363</v>
      </c>
      <c r="B294" t="s">
        <v>796</v>
      </c>
      <c r="C294" t="s">
        <v>864</v>
      </c>
      <c r="F294" t="s">
        <v>1364</v>
      </c>
      <c r="G294" t="s">
        <v>1162</v>
      </c>
    </row>
    <row r="295" spans="1:7">
      <c r="A295" t="s">
        <v>1365</v>
      </c>
      <c r="B295" t="s">
        <v>796</v>
      </c>
      <c r="C295" t="s">
        <v>864</v>
      </c>
      <c r="E295" t="s">
        <v>948</v>
      </c>
      <c r="F295" t="s">
        <v>1366</v>
      </c>
      <c r="G295" t="s">
        <v>880</v>
      </c>
    </row>
    <row r="296" spans="1:7">
      <c r="A296" t="s">
        <v>1367</v>
      </c>
      <c r="B296" t="s">
        <v>796</v>
      </c>
      <c r="C296" t="s">
        <v>864</v>
      </c>
      <c r="E296" t="s">
        <v>948</v>
      </c>
      <c r="F296" t="s">
        <v>1368</v>
      </c>
      <c r="G296" t="s">
        <v>899</v>
      </c>
    </row>
    <row r="297" spans="1:7">
      <c r="A297" t="s">
        <v>1369</v>
      </c>
      <c r="B297" t="s">
        <v>796</v>
      </c>
      <c r="C297" t="s">
        <v>864</v>
      </c>
      <c r="E297" t="s">
        <v>865</v>
      </c>
      <c r="F297" t="s">
        <v>1370</v>
      </c>
      <c r="G297" t="s">
        <v>1162</v>
      </c>
    </row>
    <row r="298" spans="1:7">
      <c r="A298" t="s">
        <v>1371</v>
      </c>
      <c r="B298" t="s">
        <v>796</v>
      </c>
      <c r="C298" t="s">
        <v>864</v>
      </c>
      <c r="F298" t="s">
        <v>1372</v>
      </c>
      <c r="G298" t="s">
        <v>1162</v>
      </c>
    </row>
    <row r="299" spans="1:7">
      <c r="A299" t="s">
        <v>1373</v>
      </c>
      <c r="B299" t="s">
        <v>796</v>
      </c>
      <c r="C299" t="s">
        <v>864</v>
      </c>
      <c r="F299" t="s">
        <v>1374</v>
      </c>
      <c r="G299" t="s">
        <v>1162</v>
      </c>
    </row>
    <row r="300" spans="1:7">
      <c r="A300" t="s">
        <v>1375</v>
      </c>
      <c r="B300" t="s">
        <v>796</v>
      </c>
      <c r="C300" t="s">
        <v>864</v>
      </c>
      <c r="F300" t="s">
        <v>1376</v>
      </c>
      <c r="G300" t="s">
        <v>1162</v>
      </c>
    </row>
    <row r="301" spans="1:7">
      <c r="A301" t="s">
        <v>1377</v>
      </c>
      <c r="B301" t="s">
        <v>796</v>
      </c>
      <c r="C301" t="s">
        <v>864</v>
      </c>
      <c r="E301" t="s">
        <v>948</v>
      </c>
      <c r="F301" t="s">
        <v>1378</v>
      </c>
      <c r="G301" t="s">
        <v>880</v>
      </c>
    </row>
    <row r="302" spans="1:7">
      <c r="A302" t="s">
        <v>1379</v>
      </c>
      <c r="B302" t="s">
        <v>796</v>
      </c>
      <c r="C302" t="s">
        <v>864</v>
      </c>
      <c r="E302" t="s">
        <v>842</v>
      </c>
      <c r="F302" t="s">
        <v>1380</v>
      </c>
      <c r="G302" t="s">
        <v>899</v>
      </c>
    </row>
    <row r="303" spans="1:7">
      <c r="A303" t="s">
        <v>1381</v>
      </c>
      <c r="B303" t="s">
        <v>796</v>
      </c>
      <c r="C303" t="s">
        <v>864</v>
      </c>
      <c r="E303" t="s">
        <v>865</v>
      </c>
      <c r="F303" t="s">
        <v>1382</v>
      </c>
      <c r="G303" t="s">
        <v>1162</v>
      </c>
    </row>
    <row r="304" spans="1:7">
      <c r="A304" t="s">
        <v>1383</v>
      </c>
      <c r="B304" t="s">
        <v>796</v>
      </c>
      <c r="C304" t="s">
        <v>864</v>
      </c>
      <c r="E304" t="s">
        <v>865</v>
      </c>
      <c r="F304" t="s">
        <v>1384</v>
      </c>
      <c r="G304" t="s">
        <v>1162</v>
      </c>
    </row>
    <row r="305" spans="1:7">
      <c r="A305" t="s">
        <v>1385</v>
      </c>
      <c r="B305" t="s">
        <v>796</v>
      </c>
      <c r="C305" t="s">
        <v>864</v>
      </c>
      <c r="E305" t="s">
        <v>882</v>
      </c>
      <c r="F305" t="s">
        <v>1386</v>
      </c>
      <c r="G305" t="s">
        <v>880</v>
      </c>
    </row>
    <row r="306" spans="1:7">
      <c r="A306" t="s">
        <v>1387</v>
      </c>
      <c r="B306" t="s">
        <v>796</v>
      </c>
      <c r="C306" t="s">
        <v>864</v>
      </c>
      <c r="E306" t="s">
        <v>865</v>
      </c>
      <c r="F306" t="s">
        <v>1388</v>
      </c>
      <c r="G306" t="s">
        <v>1162</v>
      </c>
    </row>
    <row r="307" spans="1:7">
      <c r="A307" t="s">
        <v>1389</v>
      </c>
      <c r="B307" t="s">
        <v>796</v>
      </c>
      <c r="C307" t="s">
        <v>864</v>
      </c>
      <c r="E307" t="s">
        <v>865</v>
      </c>
      <c r="F307" t="s">
        <v>1390</v>
      </c>
      <c r="G307" t="s">
        <v>1162</v>
      </c>
    </row>
    <row r="308" spans="1:7">
      <c r="A308" t="s">
        <v>1391</v>
      </c>
      <c r="B308" t="s">
        <v>796</v>
      </c>
      <c r="C308" t="s">
        <v>864</v>
      </c>
      <c r="E308" t="s">
        <v>865</v>
      </c>
      <c r="F308" t="s">
        <v>1392</v>
      </c>
      <c r="G308" t="s">
        <v>1162</v>
      </c>
    </row>
    <row r="309" spans="1:7">
      <c r="A309" t="s">
        <v>1393</v>
      </c>
      <c r="B309" t="s">
        <v>796</v>
      </c>
      <c r="C309" t="s">
        <v>864</v>
      </c>
      <c r="E309" t="s">
        <v>865</v>
      </c>
      <c r="F309" t="s">
        <v>1394</v>
      </c>
      <c r="G309" t="s">
        <v>1162</v>
      </c>
    </row>
    <row r="310" spans="1:7">
      <c r="A310" t="s">
        <v>1395</v>
      </c>
      <c r="B310" t="s">
        <v>796</v>
      </c>
      <c r="C310" t="s">
        <v>864</v>
      </c>
      <c r="E310" t="s">
        <v>865</v>
      </c>
      <c r="F310" t="s">
        <v>1396</v>
      </c>
      <c r="G310" t="s">
        <v>1162</v>
      </c>
    </row>
    <row r="311" spans="1:7">
      <c r="A311" t="s">
        <v>1397</v>
      </c>
      <c r="B311" t="s">
        <v>796</v>
      </c>
      <c r="C311" t="s">
        <v>864</v>
      </c>
      <c r="E311" t="s">
        <v>865</v>
      </c>
      <c r="F311" t="s">
        <v>1398</v>
      </c>
      <c r="G311" t="s">
        <v>880</v>
      </c>
    </row>
    <row r="312" spans="1:7">
      <c r="A312" t="s">
        <v>1399</v>
      </c>
      <c r="B312" t="s">
        <v>796</v>
      </c>
      <c r="C312" t="s">
        <v>864</v>
      </c>
      <c r="E312" t="s">
        <v>885</v>
      </c>
      <c r="F312" t="s">
        <v>1400</v>
      </c>
      <c r="G312" t="s">
        <v>880</v>
      </c>
    </row>
    <row r="313" spans="1:7">
      <c r="A313" t="s">
        <v>1401</v>
      </c>
      <c r="B313" t="s">
        <v>796</v>
      </c>
      <c r="C313" t="s">
        <v>864</v>
      </c>
      <c r="E313" t="s">
        <v>882</v>
      </c>
      <c r="F313" t="s">
        <v>1402</v>
      </c>
      <c r="G313" t="s">
        <v>880</v>
      </c>
    </row>
    <row r="314" spans="1:7">
      <c r="A314" t="s">
        <v>1403</v>
      </c>
      <c r="B314" t="s">
        <v>796</v>
      </c>
      <c r="C314" t="s">
        <v>864</v>
      </c>
      <c r="E314" t="s">
        <v>865</v>
      </c>
      <c r="F314" t="s">
        <v>1404</v>
      </c>
      <c r="G314" t="s">
        <v>880</v>
      </c>
    </row>
    <row r="315" spans="1:7">
      <c r="A315" t="s">
        <v>1405</v>
      </c>
      <c r="B315" t="s">
        <v>796</v>
      </c>
      <c r="C315" t="s">
        <v>864</v>
      </c>
      <c r="E315" t="s">
        <v>882</v>
      </c>
      <c r="F315" t="s">
        <v>1406</v>
      </c>
      <c r="G315" t="s">
        <v>1162</v>
      </c>
    </row>
    <row r="316" spans="1:7">
      <c r="A316" t="s">
        <v>1407</v>
      </c>
      <c r="B316" t="s">
        <v>796</v>
      </c>
      <c r="C316" t="s">
        <v>864</v>
      </c>
      <c r="E316" t="s">
        <v>865</v>
      </c>
      <c r="F316" t="s">
        <v>1408</v>
      </c>
      <c r="G316" t="s">
        <v>1162</v>
      </c>
    </row>
    <row r="317" spans="1:7">
      <c r="A317" t="s">
        <v>1409</v>
      </c>
      <c r="B317" t="s">
        <v>796</v>
      </c>
      <c r="C317" t="s">
        <v>864</v>
      </c>
      <c r="E317" t="s">
        <v>882</v>
      </c>
      <c r="F317" t="s">
        <v>1410</v>
      </c>
      <c r="G317" t="s">
        <v>1162</v>
      </c>
    </row>
    <row r="318" spans="1:7">
      <c r="A318" t="s">
        <v>1411</v>
      </c>
      <c r="B318" t="s">
        <v>796</v>
      </c>
      <c r="C318" t="s">
        <v>864</v>
      </c>
      <c r="E318" t="s">
        <v>885</v>
      </c>
      <c r="F318" t="s">
        <v>1412</v>
      </c>
      <c r="G318" t="s">
        <v>1162</v>
      </c>
    </row>
    <row r="319" spans="1:7">
      <c r="A319" t="s">
        <v>1413</v>
      </c>
      <c r="B319" t="s">
        <v>796</v>
      </c>
      <c r="C319" t="s">
        <v>864</v>
      </c>
      <c r="E319" t="s">
        <v>865</v>
      </c>
      <c r="F319" t="s">
        <v>1414</v>
      </c>
      <c r="G319" t="s">
        <v>1162</v>
      </c>
    </row>
    <row r="320" spans="1:7">
      <c r="A320" t="s">
        <v>1415</v>
      </c>
      <c r="B320" t="s">
        <v>796</v>
      </c>
      <c r="C320" t="s">
        <v>864</v>
      </c>
      <c r="E320" t="s">
        <v>842</v>
      </c>
      <c r="F320" t="s">
        <v>1416</v>
      </c>
      <c r="G320" t="s">
        <v>899</v>
      </c>
    </row>
    <row r="321" spans="1:7">
      <c r="A321" t="s">
        <v>1417</v>
      </c>
      <c r="B321" t="s">
        <v>796</v>
      </c>
      <c r="C321" t="s">
        <v>864</v>
      </c>
      <c r="E321" t="s">
        <v>885</v>
      </c>
      <c r="F321" t="s">
        <v>1418</v>
      </c>
      <c r="G321" t="s">
        <v>1162</v>
      </c>
    </row>
    <row r="322" spans="1:7">
      <c r="A322" t="s">
        <v>1419</v>
      </c>
      <c r="B322" t="s">
        <v>796</v>
      </c>
      <c r="C322" t="s">
        <v>864</v>
      </c>
      <c r="E322" t="s">
        <v>948</v>
      </c>
      <c r="F322" t="s">
        <v>1420</v>
      </c>
      <c r="G322" t="s">
        <v>899</v>
      </c>
    </row>
    <row r="323" spans="1:7">
      <c r="A323" t="s">
        <v>1421</v>
      </c>
      <c r="B323" t="s">
        <v>796</v>
      </c>
      <c r="C323" t="s">
        <v>864</v>
      </c>
      <c r="E323" t="s">
        <v>865</v>
      </c>
      <c r="F323" t="s">
        <v>1422</v>
      </c>
      <c r="G323" t="s">
        <v>880</v>
      </c>
    </row>
    <row r="324" spans="1:7">
      <c r="A324" t="s">
        <v>1423</v>
      </c>
      <c r="B324" t="s">
        <v>796</v>
      </c>
      <c r="C324" t="s">
        <v>864</v>
      </c>
      <c r="E324" t="s">
        <v>865</v>
      </c>
      <c r="F324" t="s">
        <v>1424</v>
      </c>
      <c r="G324" t="s">
        <v>899</v>
      </c>
    </row>
    <row r="325" spans="1:7">
      <c r="A325" t="s">
        <v>1425</v>
      </c>
      <c r="B325" t="s">
        <v>796</v>
      </c>
      <c r="C325" t="s">
        <v>864</v>
      </c>
      <c r="E325" t="s">
        <v>882</v>
      </c>
      <c r="F325" t="s">
        <v>1426</v>
      </c>
      <c r="G325" t="s">
        <v>880</v>
      </c>
    </row>
    <row r="326" spans="1:7">
      <c r="A326" t="s">
        <v>1427</v>
      </c>
      <c r="B326" t="s">
        <v>796</v>
      </c>
      <c r="C326" t="s">
        <v>864</v>
      </c>
      <c r="E326" t="s">
        <v>948</v>
      </c>
      <c r="F326" t="s">
        <v>1428</v>
      </c>
      <c r="G326" t="s">
        <v>880</v>
      </c>
    </row>
    <row r="327" spans="1:7">
      <c r="A327" t="s">
        <v>1429</v>
      </c>
      <c r="B327" t="s">
        <v>796</v>
      </c>
      <c r="C327" t="s">
        <v>864</v>
      </c>
      <c r="E327" t="s">
        <v>948</v>
      </c>
      <c r="F327" t="s">
        <v>1430</v>
      </c>
      <c r="G327" t="s">
        <v>880</v>
      </c>
    </row>
    <row r="328" spans="1:7">
      <c r="A328" t="s">
        <v>1431</v>
      </c>
      <c r="B328" t="s">
        <v>796</v>
      </c>
      <c r="C328" t="s">
        <v>864</v>
      </c>
      <c r="E328" t="s">
        <v>948</v>
      </c>
      <c r="F328" t="s">
        <v>1432</v>
      </c>
      <c r="G328" t="s">
        <v>880</v>
      </c>
    </row>
    <row r="329" spans="1:7">
      <c r="A329" t="s">
        <v>1433</v>
      </c>
      <c r="B329" t="s">
        <v>796</v>
      </c>
      <c r="C329" t="s">
        <v>864</v>
      </c>
      <c r="E329" t="s">
        <v>882</v>
      </c>
      <c r="F329" t="s">
        <v>1434</v>
      </c>
      <c r="G329" t="s">
        <v>880</v>
      </c>
    </row>
    <row r="330" spans="1:7">
      <c r="A330" t="s">
        <v>1435</v>
      </c>
      <c r="B330" t="s">
        <v>796</v>
      </c>
      <c r="C330" t="s">
        <v>864</v>
      </c>
      <c r="E330" t="s">
        <v>882</v>
      </c>
      <c r="F330" t="s">
        <v>1436</v>
      </c>
      <c r="G330" t="s">
        <v>880</v>
      </c>
    </row>
    <row r="331" spans="1:7">
      <c r="A331" t="s">
        <v>1437</v>
      </c>
      <c r="B331" t="s">
        <v>796</v>
      </c>
      <c r="C331" t="s">
        <v>864</v>
      </c>
      <c r="E331" t="s">
        <v>882</v>
      </c>
      <c r="F331" t="s">
        <v>1438</v>
      </c>
      <c r="G331" t="s">
        <v>880</v>
      </c>
    </row>
    <row r="332" spans="1:7">
      <c r="A332" t="s">
        <v>1439</v>
      </c>
      <c r="B332" t="s">
        <v>796</v>
      </c>
      <c r="C332" t="s">
        <v>864</v>
      </c>
      <c r="E332" t="s">
        <v>882</v>
      </c>
      <c r="F332" t="s">
        <v>1440</v>
      </c>
      <c r="G332" t="s">
        <v>880</v>
      </c>
    </row>
    <row r="333" spans="1:7">
      <c r="A333" t="s">
        <v>1441</v>
      </c>
      <c r="B333" t="s">
        <v>796</v>
      </c>
      <c r="C333" t="s">
        <v>864</v>
      </c>
      <c r="E333" t="s">
        <v>842</v>
      </c>
      <c r="F333" t="s">
        <v>1442</v>
      </c>
      <c r="G333" t="s">
        <v>899</v>
      </c>
    </row>
    <row r="334" spans="1:7">
      <c r="A334" t="s">
        <v>1443</v>
      </c>
      <c r="B334" t="s">
        <v>796</v>
      </c>
      <c r="C334" t="s">
        <v>864</v>
      </c>
      <c r="E334" t="s">
        <v>948</v>
      </c>
      <c r="F334" t="s">
        <v>1444</v>
      </c>
      <c r="G334" t="s">
        <v>899</v>
      </c>
    </row>
    <row r="335" spans="1:7">
      <c r="A335" t="s">
        <v>1445</v>
      </c>
      <c r="B335" t="s">
        <v>796</v>
      </c>
      <c r="C335" t="s">
        <v>864</v>
      </c>
      <c r="E335" t="s">
        <v>842</v>
      </c>
      <c r="F335" t="s">
        <v>1446</v>
      </c>
      <c r="G335" t="s">
        <v>899</v>
      </c>
    </row>
    <row r="336" spans="1:7">
      <c r="A336" t="s">
        <v>1447</v>
      </c>
      <c r="B336" t="s">
        <v>796</v>
      </c>
      <c r="C336" t="s">
        <v>864</v>
      </c>
      <c r="E336" t="s">
        <v>948</v>
      </c>
      <c r="F336" t="s">
        <v>1448</v>
      </c>
      <c r="G336" t="s">
        <v>899</v>
      </c>
    </row>
    <row r="337" spans="1:7">
      <c r="A337" t="s">
        <v>1449</v>
      </c>
      <c r="B337" t="s">
        <v>796</v>
      </c>
      <c r="C337" t="s">
        <v>864</v>
      </c>
      <c r="E337" t="s">
        <v>842</v>
      </c>
      <c r="F337" t="s">
        <v>1450</v>
      </c>
      <c r="G337" t="s">
        <v>899</v>
      </c>
    </row>
    <row r="338" spans="1:7">
      <c r="A338" t="s">
        <v>1451</v>
      </c>
      <c r="B338" t="s">
        <v>796</v>
      </c>
      <c r="C338" t="s">
        <v>864</v>
      </c>
      <c r="E338" t="s">
        <v>948</v>
      </c>
      <c r="F338" t="s">
        <v>1452</v>
      </c>
      <c r="G338" t="s">
        <v>899</v>
      </c>
    </row>
    <row r="339" spans="1:7">
      <c r="A339" t="s">
        <v>1453</v>
      </c>
      <c r="B339" t="s">
        <v>796</v>
      </c>
      <c r="C339" t="s">
        <v>864</v>
      </c>
      <c r="E339" t="s">
        <v>842</v>
      </c>
      <c r="F339" t="s">
        <v>1454</v>
      </c>
      <c r="G339" t="s">
        <v>899</v>
      </c>
    </row>
    <row r="340" spans="1:7">
      <c r="A340" t="s">
        <v>1455</v>
      </c>
      <c r="B340" t="s">
        <v>796</v>
      </c>
      <c r="C340" t="s">
        <v>864</v>
      </c>
      <c r="E340" t="s">
        <v>842</v>
      </c>
      <c r="F340" t="s">
        <v>1456</v>
      </c>
      <c r="G340" t="s">
        <v>899</v>
      </c>
    </row>
    <row r="341" spans="1:7">
      <c r="A341" t="s">
        <v>1457</v>
      </c>
      <c r="B341" t="s">
        <v>796</v>
      </c>
      <c r="C341" t="s">
        <v>864</v>
      </c>
      <c r="E341" t="s">
        <v>948</v>
      </c>
      <c r="F341" t="s">
        <v>1458</v>
      </c>
      <c r="G341" t="s">
        <v>899</v>
      </c>
    </row>
    <row r="342" spans="1:7">
      <c r="A342" t="s">
        <v>1459</v>
      </c>
      <c r="B342" t="s">
        <v>796</v>
      </c>
      <c r="C342" t="s">
        <v>864</v>
      </c>
      <c r="E342" t="s">
        <v>948</v>
      </c>
      <c r="F342" t="s">
        <v>1460</v>
      </c>
      <c r="G342" t="s">
        <v>880</v>
      </c>
    </row>
    <row r="343" spans="1:7">
      <c r="A343" t="s">
        <v>1461</v>
      </c>
      <c r="B343" t="s">
        <v>796</v>
      </c>
      <c r="C343" t="s">
        <v>864</v>
      </c>
      <c r="E343" t="s">
        <v>948</v>
      </c>
      <c r="F343" t="s">
        <v>1462</v>
      </c>
      <c r="G343" t="s">
        <v>880</v>
      </c>
    </row>
    <row r="344" spans="1:7">
      <c r="A344" t="s">
        <v>1463</v>
      </c>
      <c r="B344" t="s">
        <v>796</v>
      </c>
      <c r="C344" t="s">
        <v>864</v>
      </c>
      <c r="E344" t="s">
        <v>948</v>
      </c>
      <c r="F344" t="s">
        <v>1464</v>
      </c>
      <c r="G344" t="s">
        <v>880</v>
      </c>
    </row>
    <row r="345" spans="1:7">
      <c r="A345" t="s">
        <v>1465</v>
      </c>
      <c r="B345" t="s">
        <v>796</v>
      </c>
      <c r="C345" t="s">
        <v>864</v>
      </c>
      <c r="E345" t="s">
        <v>865</v>
      </c>
      <c r="F345" t="s">
        <v>1466</v>
      </c>
      <c r="G345" t="s">
        <v>899</v>
      </c>
    </row>
    <row r="346" spans="1:7">
      <c r="A346" t="s">
        <v>1467</v>
      </c>
      <c r="B346" t="s">
        <v>796</v>
      </c>
      <c r="C346" t="s">
        <v>864</v>
      </c>
      <c r="E346" t="s">
        <v>865</v>
      </c>
      <c r="F346" t="s">
        <v>1468</v>
      </c>
      <c r="G346" t="s">
        <v>899</v>
      </c>
    </row>
    <row r="347" spans="1:7">
      <c r="A347" t="s">
        <v>1469</v>
      </c>
      <c r="B347" t="s">
        <v>796</v>
      </c>
      <c r="C347" t="s">
        <v>1470</v>
      </c>
      <c r="E347" t="s">
        <v>882</v>
      </c>
      <c r="G347" t="s">
        <v>1471</v>
      </c>
    </row>
    <row r="348" spans="1:7">
      <c r="A348" t="s">
        <v>1472</v>
      </c>
      <c r="B348" t="s">
        <v>796</v>
      </c>
      <c r="C348" t="s">
        <v>1470</v>
      </c>
      <c r="E348" t="s">
        <v>882</v>
      </c>
      <c r="G348" t="s">
        <v>1473</v>
      </c>
    </row>
    <row r="349" spans="1:7">
      <c r="A349" t="s">
        <v>1474</v>
      </c>
      <c r="B349" t="s">
        <v>796</v>
      </c>
      <c r="C349" t="s">
        <v>1470</v>
      </c>
      <c r="E349" t="s">
        <v>882</v>
      </c>
      <c r="G349" t="s">
        <v>1475</v>
      </c>
    </row>
    <row r="350" spans="1:7">
      <c r="A350" t="s">
        <v>1476</v>
      </c>
      <c r="B350" t="s">
        <v>796</v>
      </c>
      <c r="C350" t="s">
        <v>1470</v>
      </c>
      <c r="E350" t="s">
        <v>865</v>
      </c>
      <c r="G350" t="s">
        <v>1471</v>
      </c>
    </row>
    <row r="351" spans="1:7">
      <c r="A351" t="s">
        <v>1477</v>
      </c>
      <c r="B351" t="s">
        <v>796</v>
      </c>
      <c r="C351" t="s">
        <v>1470</v>
      </c>
      <c r="E351" t="s">
        <v>865</v>
      </c>
      <c r="G351" t="s">
        <v>1478</v>
      </c>
    </row>
    <row r="352" spans="1:7">
      <c r="A352" t="s">
        <v>1479</v>
      </c>
      <c r="B352" t="s">
        <v>796</v>
      </c>
      <c r="C352" t="s">
        <v>1470</v>
      </c>
      <c r="E352" t="s">
        <v>865</v>
      </c>
      <c r="G352" t="s">
        <v>1480</v>
      </c>
    </row>
    <row r="353" spans="1:7">
      <c r="A353" t="s">
        <v>1481</v>
      </c>
      <c r="B353" t="s">
        <v>796</v>
      </c>
      <c r="C353" t="s">
        <v>1470</v>
      </c>
      <c r="E353" t="s">
        <v>948</v>
      </c>
      <c r="G353" t="s">
        <v>1471</v>
      </c>
    </row>
    <row r="354" spans="1:7">
      <c r="A354" t="s">
        <v>1482</v>
      </c>
      <c r="B354" t="s">
        <v>796</v>
      </c>
      <c r="C354" t="s">
        <v>1470</v>
      </c>
      <c r="E354" t="s">
        <v>865</v>
      </c>
      <c r="G354" t="s">
        <v>1471</v>
      </c>
    </row>
    <row r="355" spans="1:7">
      <c r="A355" t="s">
        <v>1483</v>
      </c>
      <c r="B355" t="s">
        <v>796</v>
      </c>
      <c r="C355" t="s">
        <v>1470</v>
      </c>
      <c r="E355" t="s">
        <v>842</v>
      </c>
      <c r="G355" t="s">
        <v>1471</v>
      </c>
    </row>
    <row r="356" spans="1:7">
      <c r="A356" t="s">
        <v>1484</v>
      </c>
      <c r="B356" t="s">
        <v>796</v>
      </c>
      <c r="C356" t="s">
        <v>1470</v>
      </c>
      <c r="E356" t="s">
        <v>865</v>
      </c>
      <c r="G356" t="s">
        <v>1485</v>
      </c>
    </row>
    <row r="357" spans="1:7">
      <c r="A357" t="s">
        <v>1486</v>
      </c>
      <c r="B357" t="s">
        <v>796</v>
      </c>
      <c r="C357" t="s">
        <v>1470</v>
      </c>
      <c r="E357" t="s">
        <v>865</v>
      </c>
      <c r="G357" t="s">
        <v>1478</v>
      </c>
    </row>
    <row r="358" spans="1:7">
      <c r="A358" t="s">
        <v>1487</v>
      </c>
      <c r="B358" t="s">
        <v>796</v>
      </c>
      <c r="C358" t="s">
        <v>1470</v>
      </c>
      <c r="E358" t="s">
        <v>865</v>
      </c>
      <c r="G358" t="s">
        <v>1475</v>
      </c>
    </row>
    <row r="359" spans="1:7">
      <c r="A359" t="s">
        <v>1488</v>
      </c>
      <c r="B359" t="s">
        <v>796</v>
      </c>
      <c r="C359" t="s">
        <v>1470</v>
      </c>
      <c r="E359" t="s">
        <v>865</v>
      </c>
      <c r="G359" t="s">
        <v>1475</v>
      </c>
    </row>
    <row r="360" spans="1:7">
      <c r="A360" t="s">
        <v>1489</v>
      </c>
      <c r="B360" t="s">
        <v>796</v>
      </c>
      <c r="C360" t="s">
        <v>1470</v>
      </c>
      <c r="E360" t="s">
        <v>842</v>
      </c>
      <c r="G360" t="s">
        <v>1475</v>
      </c>
    </row>
    <row r="361" spans="1:7">
      <c r="A361" t="s">
        <v>1490</v>
      </c>
      <c r="B361" t="s">
        <v>796</v>
      </c>
      <c r="C361" t="s">
        <v>1470</v>
      </c>
      <c r="E361" t="s">
        <v>865</v>
      </c>
      <c r="G361" t="s">
        <v>1475</v>
      </c>
    </row>
    <row r="362" spans="1:7">
      <c r="A362" t="s">
        <v>1491</v>
      </c>
      <c r="B362" t="s">
        <v>796</v>
      </c>
      <c r="C362" t="s">
        <v>1470</v>
      </c>
      <c r="E362" t="s">
        <v>865</v>
      </c>
      <c r="G362" t="s">
        <v>1475</v>
      </c>
    </row>
    <row r="363" spans="1:7">
      <c r="A363" t="s">
        <v>1492</v>
      </c>
      <c r="B363" t="s">
        <v>796</v>
      </c>
      <c r="C363" t="s">
        <v>1470</v>
      </c>
      <c r="E363" t="s">
        <v>865</v>
      </c>
      <c r="G363" t="s">
        <v>1475</v>
      </c>
    </row>
    <row r="364" spans="1:7">
      <c r="A364" t="s">
        <v>1493</v>
      </c>
      <c r="B364" t="s">
        <v>796</v>
      </c>
      <c r="C364" t="s">
        <v>1470</v>
      </c>
      <c r="E364" t="s">
        <v>842</v>
      </c>
      <c r="G364" t="s">
        <v>1475</v>
      </c>
    </row>
    <row r="365" spans="1:7">
      <c r="A365" t="s">
        <v>1494</v>
      </c>
      <c r="B365" t="s">
        <v>796</v>
      </c>
      <c r="C365" t="s">
        <v>1470</v>
      </c>
      <c r="E365" t="s">
        <v>865</v>
      </c>
      <c r="G365" t="s">
        <v>1475</v>
      </c>
    </row>
    <row r="366" spans="1:7">
      <c r="A366" t="s">
        <v>1495</v>
      </c>
      <c r="B366" t="s">
        <v>796</v>
      </c>
      <c r="C366" t="s">
        <v>1470</v>
      </c>
      <c r="E366" t="s">
        <v>865</v>
      </c>
      <c r="G366" t="s">
        <v>1475</v>
      </c>
    </row>
    <row r="367" spans="1:7">
      <c r="A367" t="s">
        <v>1496</v>
      </c>
      <c r="B367" t="s">
        <v>796</v>
      </c>
      <c r="C367" t="s">
        <v>168</v>
      </c>
      <c r="E367" t="s">
        <v>865</v>
      </c>
      <c r="F367" t="s">
        <v>1497</v>
      </c>
      <c r="G367" t="s">
        <v>1498</v>
      </c>
    </row>
    <row r="368" spans="1:7">
      <c r="A368" t="s">
        <v>1499</v>
      </c>
      <c r="B368" t="s">
        <v>796</v>
      </c>
      <c r="C368" t="s">
        <v>226</v>
      </c>
      <c r="E368" t="s">
        <v>865</v>
      </c>
      <c r="F368" t="s">
        <v>1500</v>
      </c>
      <c r="G368" t="s">
        <v>1498</v>
      </c>
    </row>
    <row r="369" spans="1:7">
      <c r="A369" t="s">
        <v>1501</v>
      </c>
      <c r="B369" t="s">
        <v>796</v>
      </c>
      <c r="C369" t="s">
        <v>1502</v>
      </c>
      <c r="F369" t="s">
        <v>1503</v>
      </c>
      <c r="G369" t="s">
        <v>1504</v>
      </c>
    </row>
    <row r="370" spans="1:7">
      <c r="A370" t="s">
        <v>1505</v>
      </c>
      <c r="B370" t="s">
        <v>796</v>
      </c>
      <c r="C370" t="s">
        <v>1502</v>
      </c>
      <c r="F370" t="s">
        <v>1506</v>
      </c>
      <c r="G370" t="s">
        <v>1504</v>
      </c>
    </row>
    <row r="371" spans="1:7">
      <c r="A371" t="s">
        <v>1507</v>
      </c>
      <c r="B371" t="s">
        <v>796</v>
      </c>
      <c r="C371" t="s">
        <v>1502</v>
      </c>
      <c r="F371" t="s">
        <v>1508</v>
      </c>
      <c r="G371" t="s">
        <v>1504</v>
      </c>
    </row>
    <row r="372" spans="1:7">
      <c r="A372" t="s">
        <v>1509</v>
      </c>
      <c r="B372" t="s">
        <v>796</v>
      </c>
      <c r="C372" t="s">
        <v>1502</v>
      </c>
      <c r="F372" t="s">
        <v>1510</v>
      </c>
      <c r="G372" t="s">
        <v>1504</v>
      </c>
    </row>
    <row r="373" spans="1:7">
      <c r="A373" t="s">
        <v>1511</v>
      </c>
      <c r="B373" t="s">
        <v>796</v>
      </c>
      <c r="C373" t="s">
        <v>1502</v>
      </c>
      <c r="F373" t="s">
        <v>1512</v>
      </c>
      <c r="G373" t="s">
        <v>1504</v>
      </c>
    </row>
    <row r="374" spans="1:7">
      <c r="A374" t="s">
        <v>1513</v>
      </c>
      <c r="B374" t="s">
        <v>796</v>
      </c>
      <c r="C374" t="s">
        <v>1502</v>
      </c>
      <c r="F374" t="s">
        <v>1514</v>
      </c>
      <c r="G374" t="s">
        <v>1504</v>
      </c>
    </row>
    <row r="375" spans="1:7">
      <c r="A375" t="s">
        <v>1515</v>
      </c>
      <c r="B375" t="s">
        <v>796</v>
      </c>
      <c r="C375" t="s">
        <v>1502</v>
      </c>
      <c r="F375" t="s">
        <v>1516</v>
      </c>
      <c r="G375" t="s">
        <v>1504</v>
      </c>
    </row>
    <row r="376" spans="1:7">
      <c r="A376" t="s">
        <v>1517</v>
      </c>
      <c r="B376" t="s">
        <v>796</v>
      </c>
      <c r="C376" t="s">
        <v>1502</v>
      </c>
      <c r="F376" t="s">
        <v>1518</v>
      </c>
      <c r="G376" t="s">
        <v>1504</v>
      </c>
    </row>
    <row r="377" spans="1:7">
      <c r="A377" t="s">
        <v>1519</v>
      </c>
      <c r="B377" t="s">
        <v>796</v>
      </c>
      <c r="C377" t="s">
        <v>1502</v>
      </c>
      <c r="F377" t="s">
        <v>1520</v>
      </c>
      <c r="G377" t="s">
        <v>1504</v>
      </c>
    </row>
    <row r="378" spans="1:7">
      <c r="A378" t="s">
        <v>1521</v>
      </c>
      <c r="B378" t="s">
        <v>796</v>
      </c>
      <c r="C378" t="s">
        <v>1502</v>
      </c>
      <c r="F378" t="s">
        <v>1522</v>
      </c>
      <c r="G378" t="s">
        <v>1504</v>
      </c>
    </row>
    <row r="379" spans="1:7">
      <c r="A379" t="s">
        <v>1523</v>
      </c>
      <c r="B379" t="s">
        <v>796</v>
      </c>
      <c r="C379" t="s">
        <v>1502</v>
      </c>
      <c r="F379" t="s">
        <v>1524</v>
      </c>
      <c r="G379" t="s">
        <v>1504</v>
      </c>
    </row>
    <row r="380" spans="1:7">
      <c r="A380" t="s">
        <v>1525</v>
      </c>
      <c r="B380" t="s">
        <v>796</v>
      </c>
      <c r="C380" t="s">
        <v>1502</v>
      </c>
      <c r="F380" t="s">
        <v>1526</v>
      </c>
      <c r="G380" t="s">
        <v>1504</v>
      </c>
    </row>
    <row r="381" spans="1:7">
      <c r="A381" t="s">
        <v>1527</v>
      </c>
      <c r="B381" t="s">
        <v>796</v>
      </c>
      <c r="C381" t="s">
        <v>1502</v>
      </c>
      <c r="F381" t="s">
        <v>1528</v>
      </c>
      <c r="G381" t="s">
        <v>1504</v>
      </c>
    </row>
    <row r="382" spans="1:7">
      <c r="A382" t="s">
        <v>1529</v>
      </c>
      <c r="B382" t="s">
        <v>796</v>
      </c>
      <c r="C382" t="s">
        <v>1502</v>
      </c>
      <c r="F382" t="s">
        <v>1530</v>
      </c>
      <c r="G382" t="s">
        <v>1504</v>
      </c>
    </row>
    <row r="383" spans="1:7">
      <c r="A383" t="s">
        <v>1531</v>
      </c>
      <c r="B383" t="s">
        <v>796</v>
      </c>
      <c r="C383" t="s">
        <v>1502</v>
      </c>
      <c r="F383" t="s">
        <v>1532</v>
      </c>
      <c r="G383" t="s">
        <v>1504</v>
      </c>
    </row>
    <row r="384" spans="1:7">
      <c r="A384" t="s">
        <v>1533</v>
      </c>
      <c r="B384" t="s">
        <v>796</v>
      </c>
      <c r="C384" t="s">
        <v>1502</v>
      </c>
      <c r="F384" t="s">
        <v>1534</v>
      </c>
      <c r="G384" t="s">
        <v>1504</v>
      </c>
    </row>
    <row r="385" spans="1:7">
      <c r="A385" t="s">
        <v>1535</v>
      </c>
      <c r="B385" t="s">
        <v>796</v>
      </c>
      <c r="C385" t="s">
        <v>1502</v>
      </c>
      <c r="F385" t="s">
        <v>1536</v>
      </c>
      <c r="G385" t="s">
        <v>1504</v>
      </c>
    </row>
    <row r="386" spans="1:7">
      <c r="A386" t="s">
        <v>1537</v>
      </c>
      <c r="B386" t="s">
        <v>796</v>
      </c>
      <c r="C386" t="s">
        <v>337</v>
      </c>
      <c r="E386" t="s">
        <v>865</v>
      </c>
      <c r="F386" t="s">
        <v>1538</v>
      </c>
      <c r="G386" t="s">
        <v>1498</v>
      </c>
    </row>
    <row r="387" spans="1:7">
      <c r="A387" t="s">
        <v>1539</v>
      </c>
      <c r="B387" t="s">
        <v>796</v>
      </c>
      <c r="C387" t="s">
        <v>392</v>
      </c>
      <c r="E387" t="s">
        <v>865</v>
      </c>
      <c r="F387" t="s">
        <v>1540</v>
      </c>
      <c r="G387" t="s">
        <v>1498</v>
      </c>
    </row>
    <row r="388" spans="1:7">
      <c r="A388" t="s">
        <v>1541</v>
      </c>
      <c r="B388" t="s">
        <v>796</v>
      </c>
      <c r="C388" t="s">
        <v>433</v>
      </c>
      <c r="E388" t="s">
        <v>865</v>
      </c>
      <c r="F388" t="s">
        <v>1542</v>
      </c>
      <c r="G388" t="s">
        <v>1498</v>
      </c>
    </row>
    <row r="389" spans="1:7">
      <c r="A389" t="s">
        <v>1543</v>
      </c>
      <c r="B389" t="s">
        <v>796</v>
      </c>
      <c r="C389" t="s">
        <v>1544</v>
      </c>
      <c r="E389" t="s">
        <v>865</v>
      </c>
      <c r="F389" t="s">
        <v>1540</v>
      </c>
      <c r="G389" t="s">
        <v>1498</v>
      </c>
    </row>
    <row r="390" spans="1:7">
      <c r="A390" t="s">
        <v>1545</v>
      </c>
      <c r="B390" t="s">
        <v>796</v>
      </c>
      <c r="C390" t="s">
        <v>434</v>
      </c>
      <c r="E390" t="s">
        <v>865</v>
      </c>
      <c r="F390" t="s">
        <v>1546</v>
      </c>
      <c r="G390" t="s">
        <v>1498</v>
      </c>
    </row>
    <row r="391" spans="1:7">
      <c r="A391" t="s">
        <v>1547</v>
      </c>
      <c r="B391" t="s">
        <v>796</v>
      </c>
      <c r="C391" t="s">
        <v>340</v>
      </c>
      <c r="E391" t="s">
        <v>865</v>
      </c>
      <c r="F391" t="s">
        <v>1548</v>
      </c>
      <c r="G391" t="s">
        <v>1498</v>
      </c>
    </row>
    <row r="392" spans="1:7" hidden="1">
      <c r="A392" t="s">
        <v>1549</v>
      </c>
      <c r="B392" t="s">
        <v>796</v>
      </c>
      <c r="F392" t="s">
        <v>1550</v>
      </c>
      <c r="G392" t="s">
        <v>1551</v>
      </c>
    </row>
    <row r="393" spans="1:7" hidden="1">
      <c r="A393" t="s">
        <v>1552</v>
      </c>
      <c r="B393" t="s">
        <v>796</v>
      </c>
      <c r="F393" t="s">
        <v>1550</v>
      </c>
      <c r="G393" t="s">
        <v>1551</v>
      </c>
    </row>
    <row r="394" spans="1:7" hidden="1">
      <c r="A394" t="s">
        <v>1553</v>
      </c>
      <c r="B394" t="s">
        <v>796</v>
      </c>
      <c r="F394" t="s">
        <v>1550</v>
      </c>
      <c r="G394" t="s">
        <v>1551</v>
      </c>
    </row>
    <row r="395" spans="1:7" hidden="1">
      <c r="A395" t="s">
        <v>1554</v>
      </c>
      <c r="B395" t="s">
        <v>796</v>
      </c>
      <c r="F395" t="s">
        <v>1550</v>
      </c>
      <c r="G395" t="s">
        <v>1551</v>
      </c>
    </row>
    <row r="396" spans="1:7" hidden="1">
      <c r="A396" t="s">
        <v>1555</v>
      </c>
      <c r="B396" t="s">
        <v>796</v>
      </c>
      <c r="F396" t="s">
        <v>1550</v>
      </c>
      <c r="G396" t="s">
        <v>1551</v>
      </c>
    </row>
    <row r="397" spans="1:7" hidden="1">
      <c r="A397" t="s">
        <v>1556</v>
      </c>
      <c r="B397" t="s">
        <v>796</v>
      </c>
      <c r="F397" t="s">
        <v>1550</v>
      </c>
      <c r="G397" t="s">
        <v>1551</v>
      </c>
    </row>
    <row r="398" spans="1:7" hidden="1">
      <c r="A398" t="s">
        <v>1557</v>
      </c>
      <c r="B398" t="s">
        <v>796</v>
      </c>
      <c r="F398" t="s">
        <v>1550</v>
      </c>
      <c r="G398" t="s">
        <v>1551</v>
      </c>
    </row>
    <row r="399" spans="1:7" hidden="1">
      <c r="A399" t="s">
        <v>1558</v>
      </c>
      <c r="B399" t="s">
        <v>796</v>
      </c>
      <c r="F399" t="s">
        <v>1550</v>
      </c>
      <c r="G399" t="s">
        <v>1551</v>
      </c>
    </row>
    <row r="400" spans="1:7" hidden="1">
      <c r="A400" t="s">
        <v>1559</v>
      </c>
      <c r="B400" t="s">
        <v>796</v>
      </c>
      <c r="F400" t="s">
        <v>1550</v>
      </c>
      <c r="G400" t="s">
        <v>1551</v>
      </c>
    </row>
    <row r="401" spans="1:7" hidden="1">
      <c r="A401" t="s">
        <v>1560</v>
      </c>
      <c r="B401" t="s">
        <v>796</v>
      </c>
      <c r="F401" t="s">
        <v>1550</v>
      </c>
      <c r="G401" t="s">
        <v>1551</v>
      </c>
    </row>
    <row r="402" spans="1:7" hidden="1">
      <c r="A402" t="s">
        <v>1561</v>
      </c>
      <c r="B402" t="s">
        <v>796</v>
      </c>
      <c r="F402" t="s">
        <v>1550</v>
      </c>
      <c r="G402" t="s">
        <v>1551</v>
      </c>
    </row>
    <row r="403" spans="1:7" hidden="1">
      <c r="A403" t="s">
        <v>1562</v>
      </c>
      <c r="B403" t="s">
        <v>796</v>
      </c>
      <c r="F403" t="s">
        <v>1550</v>
      </c>
      <c r="G403" t="s">
        <v>1551</v>
      </c>
    </row>
    <row r="404" spans="1:7" hidden="1">
      <c r="A404" t="s">
        <v>1563</v>
      </c>
      <c r="B404" t="s">
        <v>796</v>
      </c>
      <c r="F404" t="s">
        <v>1550</v>
      </c>
      <c r="G404" t="s">
        <v>1551</v>
      </c>
    </row>
    <row r="405" spans="1:7" hidden="1">
      <c r="A405" t="s">
        <v>1564</v>
      </c>
      <c r="B405" t="s">
        <v>796</v>
      </c>
      <c r="F405" t="s">
        <v>1550</v>
      </c>
      <c r="G405" t="s">
        <v>1551</v>
      </c>
    </row>
    <row r="406" spans="1:7" hidden="1">
      <c r="A406" t="s">
        <v>1565</v>
      </c>
      <c r="B406" t="s">
        <v>796</v>
      </c>
      <c r="F406" t="s">
        <v>1550</v>
      </c>
      <c r="G406" t="s">
        <v>1551</v>
      </c>
    </row>
    <row r="407" spans="1:7" hidden="1">
      <c r="A407" t="s">
        <v>1566</v>
      </c>
      <c r="B407" t="s">
        <v>796</v>
      </c>
      <c r="F407" t="s">
        <v>1550</v>
      </c>
      <c r="G407" t="s">
        <v>1551</v>
      </c>
    </row>
    <row r="408" spans="1:7" hidden="1">
      <c r="A408" t="s">
        <v>1567</v>
      </c>
      <c r="B408" t="s">
        <v>796</v>
      </c>
      <c r="F408" t="s">
        <v>1550</v>
      </c>
      <c r="G408" t="s">
        <v>1551</v>
      </c>
    </row>
    <row r="409" spans="1:7" hidden="1">
      <c r="A409" t="s">
        <v>1568</v>
      </c>
      <c r="B409" t="s">
        <v>796</v>
      </c>
      <c r="F409" t="s">
        <v>1550</v>
      </c>
      <c r="G409" t="s">
        <v>1551</v>
      </c>
    </row>
    <row r="410" spans="1:7" hidden="1">
      <c r="A410" t="s">
        <v>1569</v>
      </c>
      <c r="B410" t="s">
        <v>796</v>
      </c>
      <c r="F410" t="s">
        <v>1550</v>
      </c>
      <c r="G410" t="s">
        <v>1551</v>
      </c>
    </row>
    <row r="411" spans="1:7" hidden="1">
      <c r="A411" t="s">
        <v>1570</v>
      </c>
      <c r="B411" t="s">
        <v>796</v>
      </c>
      <c r="F411" t="s">
        <v>1550</v>
      </c>
      <c r="G411" t="s">
        <v>1551</v>
      </c>
    </row>
    <row r="412" spans="1:7" hidden="1">
      <c r="A412" t="s">
        <v>1571</v>
      </c>
      <c r="B412" t="s">
        <v>796</v>
      </c>
      <c r="F412" t="s">
        <v>1550</v>
      </c>
      <c r="G412" t="s">
        <v>1551</v>
      </c>
    </row>
    <row r="413" spans="1:7" hidden="1">
      <c r="A413" t="s">
        <v>1572</v>
      </c>
      <c r="B413" t="s">
        <v>796</v>
      </c>
      <c r="F413" t="s">
        <v>1550</v>
      </c>
      <c r="G413" t="s">
        <v>1551</v>
      </c>
    </row>
    <row r="414" spans="1:7" hidden="1">
      <c r="A414" t="s">
        <v>1573</v>
      </c>
      <c r="B414" t="s">
        <v>796</v>
      </c>
      <c r="F414" t="s">
        <v>1550</v>
      </c>
      <c r="G414" t="s">
        <v>1551</v>
      </c>
    </row>
    <row r="415" spans="1:7" hidden="1">
      <c r="A415" t="s">
        <v>1574</v>
      </c>
      <c r="B415" t="s">
        <v>796</v>
      </c>
      <c r="F415" t="s">
        <v>1550</v>
      </c>
      <c r="G415" t="s">
        <v>1551</v>
      </c>
    </row>
    <row r="416" spans="1:7" hidden="1">
      <c r="A416" t="s">
        <v>1575</v>
      </c>
      <c r="B416" t="s">
        <v>796</v>
      </c>
      <c r="F416" t="s">
        <v>1550</v>
      </c>
      <c r="G416" t="s">
        <v>1551</v>
      </c>
    </row>
    <row r="417" spans="1:7" hidden="1">
      <c r="A417" t="s">
        <v>1576</v>
      </c>
      <c r="B417" t="s">
        <v>796</v>
      </c>
      <c r="F417" t="s">
        <v>1550</v>
      </c>
      <c r="G417" t="s">
        <v>1551</v>
      </c>
    </row>
    <row r="418" spans="1:7" hidden="1">
      <c r="A418" t="s">
        <v>1577</v>
      </c>
      <c r="B418" t="s">
        <v>796</v>
      </c>
      <c r="F418" t="s">
        <v>1550</v>
      </c>
      <c r="G418" t="s">
        <v>1551</v>
      </c>
    </row>
    <row r="419" spans="1:7" hidden="1">
      <c r="A419" t="s">
        <v>1578</v>
      </c>
      <c r="B419" t="s">
        <v>796</v>
      </c>
      <c r="F419" t="s">
        <v>1550</v>
      </c>
      <c r="G419" t="s">
        <v>1551</v>
      </c>
    </row>
    <row r="420" spans="1:7" hidden="1">
      <c r="A420" t="s">
        <v>1579</v>
      </c>
      <c r="B420" t="s">
        <v>796</v>
      </c>
      <c r="F420" t="s">
        <v>1550</v>
      </c>
      <c r="G420" t="s">
        <v>1551</v>
      </c>
    </row>
    <row r="421" spans="1:7" hidden="1">
      <c r="A421" t="s">
        <v>1580</v>
      </c>
      <c r="B421" t="s">
        <v>796</v>
      </c>
      <c r="F421" t="s">
        <v>1550</v>
      </c>
      <c r="G421" t="s">
        <v>1551</v>
      </c>
    </row>
    <row r="422" spans="1:7" hidden="1">
      <c r="A422" t="s">
        <v>1581</v>
      </c>
      <c r="B422" t="s">
        <v>796</v>
      </c>
      <c r="F422" t="s">
        <v>1550</v>
      </c>
      <c r="G422" t="s">
        <v>1551</v>
      </c>
    </row>
    <row r="423" spans="1:7" hidden="1">
      <c r="A423" t="s">
        <v>1582</v>
      </c>
      <c r="B423" t="s">
        <v>796</v>
      </c>
      <c r="F423" t="s">
        <v>1550</v>
      </c>
      <c r="G423" t="s">
        <v>1551</v>
      </c>
    </row>
    <row r="424" spans="1:7" hidden="1">
      <c r="A424" t="s">
        <v>1583</v>
      </c>
      <c r="B424" t="s">
        <v>796</v>
      </c>
      <c r="F424" t="s">
        <v>1550</v>
      </c>
      <c r="G424" t="s">
        <v>1551</v>
      </c>
    </row>
    <row r="425" spans="1:7" hidden="1">
      <c r="A425" t="s">
        <v>1584</v>
      </c>
      <c r="B425" t="s">
        <v>796</v>
      </c>
      <c r="F425" t="s">
        <v>1550</v>
      </c>
      <c r="G425" t="s">
        <v>1551</v>
      </c>
    </row>
    <row r="426" spans="1:7" hidden="1">
      <c r="A426" t="s">
        <v>1585</v>
      </c>
      <c r="B426" t="s">
        <v>796</v>
      </c>
      <c r="F426" t="s">
        <v>1550</v>
      </c>
      <c r="G426" t="s">
        <v>1551</v>
      </c>
    </row>
    <row r="427" spans="1:7" hidden="1">
      <c r="A427" t="s">
        <v>1586</v>
      </c>
      <c r="B427" t="s">
        <v>796</v>
      </c>
      <c r="F427" t="s">
        <v>1550</v>
      </c>
      <c r="G427" t="s">
        <v>1551</v>
      </c>
    </row>
    <row r="428" spans="1:7" hidden="1">
      <c r="A428" t="s">
        <v>1587</v>
      </c>
      <c r="B428" t="s">
        <v>796</v>
      </c>
      <c r="F428" t="s">
        <v>1550</v>
      </c>
      <c r="G428" t="s">
        <v>1551</v>
      </c>
    </row>
    <row r="429" spans="1:7" hidden="1">
      <c r="A429" t="s">
        <v>1588</v>
      </c>
      <c r="B429" t="s">
        <v>796</v>
      </c>
      <c r="F429" t="s">
        <v>1550</v>
      </c>
      <c r="G429" t="s">
        <v>1551</v>
      </c>
    </row>
    <row r="430" spans="1:7" hidden="1">
      <c r="A430" t="s">
        <v>1589</v>
      </c>
      <c r="B430" t="s">
        <v>796</v>
      </c>
      <c r="F430" t="s">
        <v>1550</v>
      </c>
      <c r="G430" t="s">
        <v>1551</v>
      </c>
    </row>
    <row r="431" spans="1:7" hidden="1">
      <c r="A431" t="s">
        <v>1590</v>
      </c>
      <c r="B431" t="s">
        <v>796</v>
      </c>
      <c r="F431" t="s">
        <v>1550</v>
      </c>
      <c r="G431" t="s">
        <v>1551</v>
      </c>
    </row>
    <row r="432" spans="1:7" hidden="1">
      <c r="A432" t="s">
        <v>1591</v>
      </c>
      <c r="B432" t="s">
        <v>796</v>
      </c>
      <c r="F432" t="s">
        <v>1550</v>
      </c>
      <c r="G432" t="s">
        <v>1551</v>
      </c>
    </row>
    <row r="433" spans="1:7" hidden="1">
      <c r="A433" t="s">
        <v>1592</v>
      </c>
      <c r="B433" t="s">
        <v>796</v>
      </c>
      <c r="F433" t="s">
        <v>1593</v>
      </c>
      <c r="G433" t="s">
        <v>1551</v>
      </c>
    </row>
    <row r="434" spans="1:7" hidden="1">
      <c r="A434" t="s">
        <v>1594</v>
      </c>
      <c r="B434" t="s">
        <v>796</v>
      </c>
      <c r="F434" t="s">
        <v>1595</v>
      </c>
      <c r="G434" t="s">
        <v>1551</v>
      </c>
    </row>
    <row r="435" spans="1:7" hidden="1">
      <c r="A435" t="s">
        <v>1596</v>
      </c>
      <c r="B435" t="s">
        <v>796</v>
      </c>
      <c r="F435" t="s">
        <v>1597</v>
      </c>
      <c r="G435" t="s">
        <v>1551</v>
      </c>
    </row>
    <row r="436" spans="1:7" hidden="1">
      <c r="A436" t="s">
        <v>1598</v>
      </c>
      <c r="B436" t="s">
        <v>796</v>
      </c>
      <c r="F436" t="s">
        <v>1599</v>
      </c>
      <c r="G436" t="s">
        <v>1551</v>
      </c>
    </row>
    <row r="437" spans="1:7" hidden="1">
      <c r="A437" t="s">
        <v>1598</v>
      </c>
      <c r="B437" t="s">
        <v>796</v>
      </c>
      <c r="F437" t="s">
        <v>1600</v>
      </c>
      <c r="G437" t="s">
        <v>1551</v>
      </c>
    </row>
    <row r="438" spans="1:7" hidden="1">
      <c r="A438" t="s">
        <v>1601</v>
      </c>
      <c r="B438" t="s">
        <v>796</v>
      </c>
      <c r="F438" t="s">
        <v>1602</v>
      </c>
      <c r="G438" t="s">
        <v>1551</v>
      </c>
    </row>
    <row r="439" spans="1:7" hidden="1">
      <c r="A439" t="s">
        <v>1603</v>
      </c>
      <c r="B439" t="s">
        <v>796</v>
      </c>
      <c r="F439" t="s">
        <v>1604</v>
      </c>
      <c r="G439" t="s">
        <v>1551</v>
      </c>
    </row>
  </sheetData>
  <autoFilter ref="A1:G439" xr:uid="{00000000-0001-0000-0000-000000000000}">
    <filterColumn colId="6">
      <filters>
        <filter val="DQ Anagrafica [Accuracy Ctg]"/>
        <filter val="DQ Anagrafica [Validity Ctg]"/>
        <filter val="DQ Anagrafica Logica  [Completeness Ctg]"/>
        <filter val="DQ Contribuzione CRIF - Anagrafica [Ctg]"/>
        <filter val="DQ Contribuzione CRIF - Contratti [Ctg]"/>
        <filter val="DQ Contribuzione CRIF - Legami [Ctg]"/>
        <filter val="DQ Contribuzione CRIF - Normalizzazione Dati Anagrafici [Ctg]"/>
        <filter val="DQ Contribuzione CTC - ANAGRAFE [Ctg]"/>
        <filter val="DQ Contribuzione CTC - BENI [Ctg]"/>
        <filter val="DQ Contribuzione CTC - DATIAGG [Ctg]"/>
        <filter val="DQ Contribuzione CTC - INDIRIZZI [Ctg]"/>
        <filter val="DQ Contribuzione CTC - RAPPORTI [Ctg]"/>
        <filter val="DQ Contribuzione CTC - RUOLO [Ctg]"/>
        <filter val="DQ Dashboard controlli DOD [Ctg]"/>
        <filter val="DQ Finanziamenti Auto [Validity Ctg]"/>
        <filter val="DQ Finanziamenti Sede [Validity Ctg]"/>
        <filter val="DQ GP CACF_ 1053 235 - Accounting / regulatory reconciliation 2.2"/>
        <filter val="DQ GP CACF_1041 112 – Compliance with deadlines of financial and regulatory publications 2.2"/>
        <filter val="DQ RAF [Ctg]"/>
        <filter val="DQ Rating Controparte [Validity Ctg]"/>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81B2C-C00C-4980-8C16-A8C34664CBE3}">
  <dimension ref="A1:C391"/>
  <sheetViews>
    <sheetView workbookViewId="0">
      <selection activeCell="A16" sqref="A16"/>
    </sheetView>
  </sheetViews>
  <sheetFormatPr defaultColWidth="8.7109375" defaultRowHeight="14.45"/>
  <cols>
    <col min="1" max="1" width="29.5703125" bestFit="1" customWidth="1"/>
    <col min="2" max="2" width="18.42578125" customWidth="1"/>
    <col min="3" max="3" width="149.42578125" bestFit="1" customWidth="1"/>
  </cols>
  <sheetData>
    <row r="1" spans="1:3">
      <c r="A1" s="2" t="s">
        <v>788</v>
      </c>
      <c r="B1" s="2" t="s">
        <v>789</v>
      </c>
      <c r="C1" s="2" t="s">
        <v>1605</v>
      </c>
    </row>
    <row r="2" spans="1:3">
      <c r="A2" t="s">
        <v>834</v>
      </c>
      <c r="B2" t="s">
        <v>1606</v>
      </c>
      <c r="C2" t="s">
        <v>830</v>
      </c>
    </row>
    <row r="3" spans="1:3">
      <c r="A3" t="s">
        <v>864</v>
      </c>
      <c r="B3" t="s">
        <v>1606</v>
      </c>
      <c r="C3" t="s">
        <v>1467</v>
      </c>
    </row>
    <row r="4" spans="1:3">
      <c r="A4" t="s">
        <v>864</v>
      </c>
      <c r="B4" t="s">
        <v>1606</v>
      </c>
      <c r="C4" t="s">
        <v>1465</v>
      </c>
    </row>
    <row r="5" spans="1:3">
      <c r="A5" t="s">
        <v>864</v>
      </c>
      <c r="B5" t="s">
        <v>1606</v>
      </c>
      <c r="C5" t="s">
        <v>1463</v>
      </c>
    </row>
    <row r="6" spans="1:3">
      <c r="A6" t="s">
        <v>864</v>
      </c>
      <c r="B6" t="s">
        <v>1606</v>
      </c>
      <c r="C6" t="s">
        <v>1461</v>
      </c>
    </row>
    <row r="7" spans="1:3">
      <c r="A7" t="s">
        <v>864</v>
      </c>
      <c r="B7" t="s">
        <v>1606</v>
      </c>
      <c r="C7" t="s">
        <v>1459</v>
      </c>
    </row>
    <row r="8" spans="1:3">
      <c r="A8" t="s">
        <v>864</v>
      </c>
      <c r="B8" t="s">
        <v>1606</v>
      </c>
      <c r="C8" t="s">
        <v>1457</v>
      </c>
    </row>
    <row r="9" spans="1:3">
      <c r="A9" t="s">
        <v>864</v>
      </c>
      <c r="B9" t="s">
        <v>1606</v>
      </c>
      <c r="C9" t="s">
        <v>1455</v>
      </c>
    </row>
    <row r="10" spans="1:3">
      <c r="A10" t="s">
        <v>864</v>
      </c>
      <c r="B10" t="s">
        <v>1606</v>
      </c>
      <c r="C10" t="s">
        <v>1453</v>
      </c>
    </row>
    <row r="11" spans="1:3">
      <c r="A11" t="s">
        <v>864</v>
      </c>
      <c r="B11" t="s">
        <v>1606</v>
      </c>
      <c r="C11" t="s">
        <v>1451</v>
      </c>
    </row>
    <row r="12" spans="1:3">
      <c r="A12" t="s">
        <v>864</v>
      </c>
      <c r="B12" t="s">
        <v>1606</v>
      </c>
      <c r="C12" t="s">
        <v>1449</v>
      </c>
    </row>
    <row r="13" spans="1:3">
      <c r="A13" t="s">
        <v>864</v>
      </c>
      <c r="B13" t="s">
        <v>1606</v>
      </c>
      <c r="C13" t="s">
        <v>1447</v>
      </c>
    </row>
    <row r="14" spans="1:3">
      <c r="A14" t="s">
        <v>864</v>
      </c>
      <c r="B14" t="s">
        <v>1606</v>
      </c>
      <c r="C14" t="s">
        <v>1445</v>
      </c>
    </row>
    <row r="15" spans="1:3">
      <c r="A15" t="s">
        <v>864</v>
      </c>
      <c r="B15" t="s">
        <v>1606</v>
      </c>
      <c r="C15" t="s">
        <v>1443</v>
      </c>
    </row>
    <row r="16" spans="1:3">
      <c r="A16" t="s">
        <v>864</v>
      </c>
      <c r="B16" t="s">
        <v>1606</v>
      </c>
      <c r="C16" t="s">
        <v>1441</v>
      </c>
    </row>
    <row r="17" spans="1:3">
      <c r="A17" t="s">
        <v>864</v>
      </c>
      <c r="B17" t="s">
        <v>1606</v>
      </c>
      <c r="C17" t="s">
        <v>1439</v>
      </c>
    </row>
    <row r="18" spans="1:3">
      <c r="A18" t="s">
        <v>864</v>
      </c>
      <c r="B18" t="s">
        <v>1606</v>
      </c>
      <c r="C18" t="s">
        <v>1437</v>
      </c>
    </row>
    <row r="19" spans="1:3">
      <c r="A19" t="s">
        <v>864</v>
      </c>
      <c r="B19" t="s">
        <v>1606</v>
      </c>
      <c r="C19" t="s">
        <v>1435</v>
      </c>
    </row>
    <row r="20" spans="1:3">
      <c r="A20" t="s">
        <v>864</v>
      </c>
      <c r="B20" t="s">
        <v>1606</v>
      </c>
      <c r="C20" t="s">
        <v>1433</v>
      </c>
    </row>
    <row r="21" spans="1:3">
      <c r="A21" t="s">
        <v>864</v>
      </c>
      <c r="B21" t="s">
        <v>1606</v>
      </c>
      <c r="C21" t="s">
        <v>1431</v>
      </c>
    </row>
    <row r="22" spans="1:3">
      <c r="A22" t="s">
        <v>864</v>
      </c>
      <c r="B22" t="s">
        <v>1606</v>
      </c>
      <c r="C22" t="s">
        <v>1429</v>
      </c>
    </row>
    <row r="23" spans="1:3">
      <c r="A23" t="s">
        <v>864</v>
      </c>
      <c r="B23" t="s">
        <v>1606</v>
      </c>
      <c r="C23" t="s">
        <v>1427</v>
      </c>
    </row>
    <row r="24" spans="1:3">
      <c r="A24" t="s">
        <v>864</v>
      </c>
      <c r="B24" t="s">
        <v>1606</v>
      </c>
      <c r="C24" t="s">
        <v>1425</v>
      </c>
    </row>
    <row r="25" spans="1:3">
      <c r="A25" t="s">
        <v>864</v>
      </c>
      <c r="B25" t="s">
        <v>1606</v>
      </c>
      <c r="C25" t="s">
        <v>1423</v>
      </c>
    </row>
    <row r="26" spans="1:3">
      <c r="A26" t="s">
        <v>864</v>
      </c>
      <c r="B26" t="s">
        <v>1606</v>
      </c>
      <c r="C26" t="s">
        <v>1421</v>
      </c>
    </row>
    <row r="27" spans="1:3">
      <c r="A27" t="s">
        <v>864</v>
      </c>
      <c r="B27" t="s">
        <v>1606</v>
      </c>
      <c r="C27" t="s">
        <v>1419</v>
      </c>
    </row>
    <row r="28" spans="1:3">
      <c r="A28" t="s">
        <v>864</v>
      </c>
      <c r="B28" t="s">
        <v>1606</v>
      </c>
      <c r="C28" t="s">
        <v>1417</v>
      </c>
    </row>
    <row r="29" spans="1:3">
      <c r="A29" t="s">
        <v>864</v>
      </c>
      <c r="B29" t="s">
        <v>1606</v>
      </c>
      <c r="C29" t="s">
        <v>1415</v>
      </c>
    </row>
    <row r="30" spans="1:3">
      <c r="A30" t="s">
        <v>864</v>
      </c>
      <c r="B30" t="s">
        <v>1606</v>
      </c>
      <c r="C30" t="s">
        <v>1413</v>
      </c>
    </row>
    <row r="31" spans="1:3">
      <c r="A31" t="s">
        <v>864</v>
      </c>
      <c r="B31" t="s">
        <v>1606</v>
      </c>
      <c r="C31" t="s">
        <v>1411</v>
      </c>
    </row>
    <row r="32" spans="1:3">
      <c r="A32" t="s">
        <v>864</v>
      </c>
      <c r="B32" t="s">
        <v>1606</v>
      </c>
      <c r="C32" t="s">
        <v>1409</v>
      </c>
    </row>
    <row r="33" spans="1:3">
      <c r="A33" t="s">
        <v>864</v>
      </c>
      <c r="B33" t="s">
        <v>1606</v>
      </c>
      <c r="C33" t="s">
        <v>1407</v>
      </c>
    </row>
    <row r="34" spans="1:3">
      <c r="A34" t="s">
        <v>864</v>
      </c>
      <c r="B34" t="s">
        <v>1606</v>
      </c>
      <c r="C34" t="s">
        <v>1405</v>
      </c>
    </row>
    <row r="35" spans="1:3">
      <c r="A35" t="s">
        <v>864</v>
      </c>
      <c r="B35" t="s">
        <v>1606</v>
      </c>
      <c r="C35" t="s">
        <v>1403</v>
      </c>
    </row>
    <row r="36" spans="1:3">
      <c r="A36" t="s">
        <v>864</v>
      </c>
      <c r="B36" t="s">
        <v>1606</v>
      </c>
      <c r="C36" t="s">
        <v>1401</v>
      </c>
    </row>
    <row r="37" spans="1:3">
      <c r="A37" t="s">
        <v>864</v>
      </c>
      <c r="B37" t="s">
        <v>1606</v>
      </c>
      <c r="C37" t="s">
        <v>1399</v>
      </c>
    </row>
    <row r="38" spans="1:3">
      <c r="A38" t="s">
        <v>864</v>
      </c>
      <c r="B38" t="s">
        <v>1606</v>
      </c>
      <c r="C38" t="s">
        <v>1397</v>
      </c>
    </row>
    <row r="39" spans="1:3">
      <c r="A39" t="s">
        <v>864</v>
      </c>
      <c r="B39" t="s">
        <v>1606</v>
      </c>
      <c r="C39" t="s">
        <v>1395</v>
      </c>
    </row>
    <row r="40" spans="1:3">
      <c r="A40" t="s">
        <v>864</v>
      </c>
      <c r="B40" t="s">
        <v>1606</v>
      </c>
      <c r="C40" t="s">
        <v>1393</v>
      </c>
    </row>
    <row r="41" spans="1:3">
      <c r="A41" t="s">
        <v>864</v>
      </c>
      <c r="B41" t="s">
        <v>1606</v>
      </c>
      <c r="C41" t="s">
        <v>1391</v>
      </c>
    </row>
    <row r="42" spans="1:3">
      <c r="A42" t="s">
        <v>864</v>
      </c>
      <c r="B42" t="s">
        <v>1606</v>
      </c>
      <c r="C42" t="s">
        <v>1389</v>
      </c>
    </row>
    <row r="43" spans="1:3">
      <c r="A43" t="s">
        <v>864</v>
      </c>
      <c r="B43" t="s">
        <v>1606</v>
      </c>
      <c r="C43" t="s">
        <v>1387</v>
      </c>
    </row>
    <row r="44" spans="1:3">
      <c r="A44" t="s">
        <v>864</v>
      </c>
      <c r="B44" t="s">
        <v>1606</v>
      </c>
      <c r="C44" t="s">
        <v>1385</v>
      </c>
    </row>
    <row r="45" spans="1:3">
      <c r="A45" t="s">
        <v>864</v>
      </c>
      <c r="B45" t="s">
        <v>1606</v>
      </c>
      <c r="C45" t="s">
        <v>1383</v>
      </c>
    </row>
    <row r="46" spans="1:3">
      <c r="A46" t="s">
        <v>864</v>
      </c>
      <c r="B46" t="s">
        <v>1606</v>
      </c>
      <c r="C46" t="s">
        <v>1381</v>
      </c>
    </row>
    <row r="47" spans="1:3">
      <c r="A47" t="s">
        <v>864</v>
      </c>
      <c r="B47" t="s">
        <v>1606</v>
      </c>
      <c r="C47" t="s">
        <v>1379</v>
      </c>
    </row>
    <row r="48" spans="1:3">
      <c r="A48" t="s">
        <v>864</v>
      </c>
      <c r="B48" t="s">
        <v>1606</v>
      </c>
      <c r="C48" t="s">
        <v>1377</v>
      </c>
    </row>
    <row r="49" spans="1:3">
      <c r="A49" t="s">
        <v>864</v>
      </c>
      <c r="B49" t="s">
        <v>1606</v>
      </c>
      <c r="C49" t="s">
        <v>1375</v>
      </c>
    </row>
    <row r="50" spans="1:3">
      <c r="A50" t="s">
        <v>864</v>
      </c>
      <c r="B50" t="s">
        <v>1606</v>
      </c>
      <c r="C50" t="s">
        <v>1373</v>
      </c>
    </row>
    <row r="51" spans="1:3">
      <c r="A51" t="s">
        <v>864</v>
      </c>
      <c r="B51" t="s">
        <v>1606</v>
      </c>
      <c r="C51" t="s">
        <v>1371</v>
      </c>
    </row>
    <row r="52" spans="1:3">
      <c r="A52" t="s">
        <v>864</v>
      </c>
      <c r="B52" t="s">
        <v>1606</v>
      </c>
      <c r="C52" t="s">
        <v>1369</v>
      </c>
    </row>
    <row r="53" spans="1:3">
      <c r="A53" t="s">
        <v>864</v>
      </c>
      <c r="B53" t="s">
        <v>1606</v>
      </c>
      <c r="C53" t="s">
        <v>1367</v>
      </c>
    </row>
    <row r="54" spans="1:3">
      <c r="A54" t="s">
        <v>864</v>
      </c>
      <c r="B54" t="s">
        <v>1606</v>
      </c>
      <c r="C54" t="s">
        <v>1365</v>
      </c>
    </row>
    <row r="55" spans="1:3">
      <c r="A55" t="s">
        <v>864</v>
      </c>
      <c r="B55" t="s">
        <v>1606</v>
      </c>
      <c r="C55" t="s">
        <v>1363</v>
      </c>
    </row>
    <row r="56" spans="1:3">
      <c r="A56" t="s">
        <v>864</v>
      </c>
      <c r="B56" t="s">
        <v>1606</v>
      </c>
      <c r="C56" t="s">
        <v>1361</v>
      </c>
    </row>
    <row r="57" spans="1:3">
      <c r="A57" t="s">
        <v>864</v>
      </c>
      <c r="B57" t="s">
        <v>1606</v>
      </c>
      <c r="C57" t="s">
        <v>1359</v>
      </c>
    </row>
    <row r="58" spans="1:3">
      <c r="A58" t="s">
        <v>864</v>
      </c>
      <c r="B58" t="s">
        <v>1606</v>
      </c>
      <c r="C58" t="s">
        <v>1357</v>
      </c>
    </row>
    <row r="59" spans="1:3">
      <c r="A59" t="s">
        <v>864</v>
      </c>
      <c r="B59" t="s">
        <v>1606</v>
      </c>
      <c r="C59" t="s">
        <v>1355</v>
      </c>
    </row>
    <row r="60" spans="1:3">
      <c r="A60" t="s">
        <v>864</v>
      </c>
      <c r="B60" t="s">
        <v>1606</v>
      </c>
      <c r="C60" t="s">
        <v>1353</v>
      </c>
    </row>
    <row r="61" spans="1:3">
      <c r="A61" t="s">
        <v>864</v>
      </c>
      <c r="B61" t="s">
        <v>1606</v>
      </c>
      <c r="C61" t="s">
        <v>1351</v>
      </c>
    </row>
    <row r="62" spans="1:3">
      <c r="A62" t="s">
        <v>864</v>
      </c>
      <c r="B62" t="s">
        <v>1606</v>
      </c>
      <c r="C62" t="s">
        <v>1349</v>
      </c>
    </row>
    <row r="63" spans="1:3">
      <c r="A63" t="s">
        <v>864</v>
      </c>
      <c r="B63" t="s">
        <v>1606</v>
      </c>
      <c r="C63" t="s">
        <v>1347</v>
      </c>
    </row>
    <row r="64" spans="1:3">
      <c r="A64" t="s">
        <v>864</v>
      </c>
      <c r="B64" t="s">
        <v>1606</v>
      </c>
      <c r="C64" t="s">
        <v>1345</v>
      </c>
    </row>
    <row r="65" spans="1:3">
      <c r="A65" t="s">
        <v>864</v>
      </c>
      <c r="B65" t="s">
        <v>1606</v>
      </c>
      <c r="C65" t="s">
        <v>1343</v>
      </c>
    </row>
    <row r="66" spans="1:3">
      <c r="A66" t="s">
        <v>864</v>
      </c>
      <c r="B66" t="s">
        <v>1606</v>
      </c>
      <c r="C66" t="s">
        <v>1341</v>
      </c>
    </row>
    <row r="67" spans="1:3">
      <c r="A67" t="s">
        <v>864</v>
      </c>
      <c r="B67" t="s">
        <v>1606</v>
      </c>
      <c r="C67" t="s">
        <v>1339</v>
      </c>
    </row>
    <row r="68" spans="1:3">
      <c r="A68" t="s">
        <v>864</v>
      </c>
      <c r="B68" t="s">
        <v>1606</v>
      </c>
      <c r="C68" t="s">
        <v>1337</v>
      </c>
    </row>
    <row r="69" spans="1:3">
      <c r="A69" t="s">
        <v>864</v>
      </c>
      <c r="B69" t="s">
        <v>1606</v>
      </c>
      <c r="C69" t="s">
        <v>1335</v>
      </c>
    </row>
    <row r="70" spans="1:3">
      <c r="A70" t="s">
        <v>864</v>
      </c>
      <c r="B70" t="s">
        <v>1606</v>
      </c>
      <c r="C70" t="s">
        <v>1333</v>
      </c>
    </row>
    <row r="71" spans="1:3">
      <c r="A71" t="s">
        <v>864</v>
      </c>
      <c r="B71" t="s">
        <v>1606</v>
      </c>
      <c r="C71" t="s">
        <v>1331</v>
      </c>
    </row>
    <row r="72" spans="1:3">
      <c r="A72" t="s">
        <v>864</v>
      </c>
      <c r="B72" t="s">
        <v>1606</v>
      </c>
      <c r="C72" t="s">
        <v>1329</v>
      </c>
    </row>
    <row r="73" spans="1:3">
      <c r="A73" t="s">
        <v>864</v>
      </c>
      <c r="B73" t="s">
        <v>1606</v>
      </c>
      <c r="C73" t="s">
        <v>1327</v>
      </c>
    </row>
    <row r="74" spans="1:3">
      <c r="A74" t="s">
        <v>864</v>
      </c>
      <c r="B74" t="s">
        <v>1606</v>
      </c>
      <c r="C74" t="s">
        <v>1325</v>
      </c>
    </row>
    <row r="75" spans="1:3">
      <c r="A75" t="s">
        <v>864</v>
      </c>
      <c r="B75" t="s">
        <v>1606</v>
      </c>
      <c r="C75" t="s">
        <v>1323</v>
      </c>
    </row>
    <row r="76" spans="1:3">
      <c r="A76" t="s">
        <v>864</v>
      </c>
      <c r="B76" t="s">
        <v>1606</v>
      </c>
      <c r="C76" t="s">
        <v>1321</v>
      </c>
    </row>
    <row r="77" spans="1:3">
      <c r="A77" t="s">
        <v>864</v>
      </c>
      <c r="B77" t="s">
        <v>1606</v>
      </c>
      <c r="C77" t="s">
        <v>1319</v>
      </c>
    </row>
    <row r="78" spans="1:3">
      <c r="A78" t="s">
        <v>864</v>
      </c>
      <c r="B78" t="s">
        <v>1606</v>
      </c>
      <c r="C78" t="s">
        <v>1317</v>
      </c>
    </row>
    <row r="79" spans="1:3">
      <c r="A79" t="s">
        <v>864</v>
      </c>
      <c r="B79" t="s">
        <v>1606</v>
      </c>
      <c r="C79" t="s">
        <v>1315</v>
      </c>
    </row>
    <row r="80" spans="1:3">
      <c r="A80" t="s">
        <v>864</v>
      </c>
      <c r="B80" t="s">
        <v>1606</v>
      </c>
      <c r="C80" t="s">
        <v>1313</v>
      </c>
    </row>
    <row r="81" spans="1:3">
      <c r="A81" t="s">
        <v>864</v>
      </c>
      <c r="B81" t="s">
        <v>1606</v>
      </c>
      <c r="C81" t="s">
        <v>1311</v>
      </c>
    </row>
    <row r="82" spans="1:3">
      <c r="A82" t="s">
        <v>864</v>
      </c>
      <c r="B82" t="s">
        <v>1606</v>
      </c>
      <c r="C82" t="s">
        <v>1309</v>
      </c>
    </row>
    <row r="83" spans="1:3">
      <c r="A83" t="s">
        <v>864</v>
      </c>
      <c r="B83" t="s">
        <v>1606</v>
      </c>
      <c r="C83" t="s">
        <v>1307</v>
      </c>
    </row>
    <row r="84" spans="1:3">
      <c r="A84" t="s">
        <v>864</v>
      </c>
      <c r="B84" t="s">
        <v>1606</v>
      </c>
      <c r="C84" t="s">
        <v>1305</v>
      </c>
    </row>
    <row r="85" spans="1:3">
      <c r="A85" t="s">
        <v>864</v>
      </c>
      <c r="B85" t="s">
        <v>1606</v>
      </c>
      <c r="C85" t="s">
        <v>1303</v>
      </c>
    </row>
    <row r="86" spans="1:3">
      <c r="A86" t="s">
        <v>864</v>
      </c>
      <c r="B86" t="s">
        <v>1606</v>
      </c>
      <c r="C86" t="s">
        <v>1301</v>
      </c>
    </row>
    <row r="87" spans="1:3">
      <c r="A87" t="s">
        <v>864</v>
      </c>
      <c r="B87" t="s">
        <v>1606</v>
      </c>
      <c r="C87" t="s">
        <v>1299</v>
      </c>
    </row>
    <row r="88" spans="1:3">
      <c r="A88" t="s">
        <v>864</v>
      </c>
      <c r="B88" t="s">
        <v>1606</v>
      </c>
      <c r="C88" t="s">
        <v>1297</v>
      </c>
    </row>
    <row r="89" spans="1:3">
      <c r="A89" t="s">
        <v>864</v>
      </c>
      <c r="B89" t="s">
        <v>1606</v>
      </c>
      <c r="C89" t="s">
        <v>1295</v>
      </c>
    </row>
    <row r="90" spans="1:3">
      <c r="A90" t="s">
        <v>864</v>
      </c>
      <c r="B90" t="s">
        <v>1606</v>
      </c>
      <c r="C90" t="s">
        <v>1293</v>
      </c>
    </row>
    <row r="91" spans="1:3">
      <c r="A91" t="s">
        <v>864</v>
      </c>
      <c r="B91" t="s">
        <v>1606</v>
      </c>
      <c r="C91" t="s">
        <v>1291</v>
      </c>
    </row>
    <row r="92" spans="1:3">
      <c r="A92" t="s">
        <v>864</v>
      </c>
      <c r="B92" t="s">
        <v>1606</v>
      </c>
      <c r="C92" t="s">
        <v>1289</v>
      </c>
    </row>
    <row r="93" spans="1:3">
      <c r="A93" t="s">
        <v>864</v>
      </c>
      <c r="B93" t="s">
        <v>1606</v>
      </c>
      <c r="C93" t="s">
        <v>1287</v>
      </c>
    </row>
    <row r="94" spans="1:3">
      <c r="A94" t="s">
        <v>864</v>
      </c>
      <c r="B94" t="s">
        <v>1606</v>
      </c>
      <c r="C94" t="s">
        <v>1285</v>
      </c>
    </row>
    <row r="95" spans="1:3">
      <c r="A95" t="s">
        <v>864</v>
      </c>
      <c r="B95" t="s">
        <v>1606</v>
      </c>
      <c r="C95" t="s">
        <v>1283</v>
      </c>
    </row>
    <row r="96" spans="1:3">
      <c r="A96" t="s">
        <v>864</v>
      </c>
      <c r="B96" t="s">
        <v>1606</v>
      </c>
      <c r="C96" t="s">
        <v>1281</v>
      </c>
    </row>
    <row r="97" spans="1:3">
      <c r="A97" t="s">
        <v>864</v>
      </c>
      <c r="B97" t="s">
        <v>1606</v>
      </c>
      <c r="C97" t="s">
        <v>1279</v>
      </c>
    </row>
    <row r="98" spans="1:3">
      <c r="A98" t="s">
        <v>864</v>
      </c>
      <c r="B98" t="s">
        <v>1606</v>
      </c>
      <c r="C98" t="s">
        <v>1277</v>
      </c>
    </row>
    <row r="99" spans="1:3">
      <c r="A99" t="s">
        <v>864</v>
      </c>
      <c r="B99" t="s">
        <v>1606</v>
      </c>
      <c r="C99" t="s">
        <v>1275</v>
      </c>
    </row>
    <row r="100" spans="1:3">
      <c r="A100" t="s">
        <v>864</v>
      </c>
      <c r="B100" t="s">
        <v>1606</v>
      </c>
      <c r="C100" t="s">
        <v>1273</v>
      </c>
    </row>
    <row r="101" spans="1:3">
      <c r="A101" t="s">
        <v>864</v>
      </c>
      <c r="B101" t="s">
        <v>1606</v>
      </c>
      <c r="C101" t="s">
        <v>1271</v>
      </c>
    </row>
    <row r="102" spans="1:3">
      <c r="A102" t="s">
        <v>864</v>
      </c>
      <c r="B102" t="s">
        <v>1606</v>
      </c>
      <c r="C102" t="s">
        <v>1269</v>
      </c>
    </row>
    <row r="103" spans="1:3">
      <c r="A103" t="s">
        <v>864</v>
      </c>
      <c r="B103" t="s">
        <v>1606</v>
      </c>
      <c r="C103" t="s">
        <v>1267</v>
      </c>
    </row>
    <row r="104" spans="1:3">
      <c r="A104" t="s">
        <v>864</v>
      </c>
      <c r="B104" t="s">
        <v>1606</v>
      </c>
      <c r="C104" t="s">
        <v>1265</v>
      </c>
    </row>
    <row r="105" spans="1:3">
      <c r="A105" t="s">
        <v>864</v>
      </c>
      <c r="B105" t="s">
        <v>1606</v>
      </c>
      <c r="C105" t="s">
        <v>1263</v>
      </c>
    </row>
    <row r="106" spans="1:3">
      <c r="A106" t="s">
        <v>864</v>
      </c>
      <c r="B106" t="s">
        <v>1606</v>
      </c>
      <c r="C106" t="s">
        <v>1261</v>
      </c>
    </row>
    <row r="107" spans="1:3">
      <c r="A107" t="s">
        <v>864</v>
      </c>
      <c r="B107" t="s">
        <v>1606</v>
      </c>
      <c r="C107" t="s">
        <v>1259</v>
      </c>
    </row>
    <row r="108" spans="1:3">
      <c r="A108" t="s">
        <v>864</v>
      </c>
      <c r="B108" t="s">
        <v>1606</v>
      </c>
      <c r="C108" t="s">
        <v>1257</v>
      </c>
    </row>
    <row r="109" spans="1:3">
      <c r="A109" t="s">
        <v>864</v>
      </c>
      <c r="B109" t="s">
        <v>1606</v>
      </c>
      <c r="C109" t="s">
        <v>1255</v>
      </c>
    </row>
    <row r="110" spans="1:3">
      <c r="A110" t="s">
        <v>864</v>
      </c>
      <c r="B110" t="s">
        <v>1606</v>
      </c>
      <c r="C110" t="s">
        <v>1253</v>
      </c>
    </row>
    <row r="111" spans="1:3">
      <c r="A111" t="s">
        <v>864</v>
      </c>
      <c r="B111" t="s">
        <v>1606</v>
      </c>
      <c r="C111" t="s">
        <v>1250</v>
      </c>
    </row>
    <row r="112" spans="1:3">
      <c r="A112" t="s">
        <v>864</v>
      </c>
      <c r="B112" t="s">
        <v>1606</v>
      </c>
      <c r="C112" t="s">
        <v>1248</v>
      </c>
    </row>
    <row r="113" spans="1:3">
      <c r="A113" t="s">
        <v>864</v>
      </c>
      <c r="B113" t="s">
        <v>1606</v>
      </c>
      <c r="C113" t="s">
        <v>1246</v>
      </c>
    </row>
    <row r="114" spans="1:3">
      <c r="A114" t="s">
        <v>864</v>
      </c>
      <c r="B114" t="s">
        <v>1606</v>
      </c>
      <c r="C114" t="s">
        <v>1244</v>
      </c>
    </row>
    <row r="115" spans="1:3">
      <c r="A115" t="s">
        <v>864</v>
      </c>
      <c r="B115" t="s">
        <v>1606</v>
      </c>
      <c r="C115" t="s">
        <v>1242</v>
      </c>
    </row>
    <row r="116" spans="1:3">
      <c r="A116" t="s">
        <v>864</v>
      </c>
      <c r="B116" t="s">
        <v>1606</v>
      </c>
      <c r="C116" t="s">
        <v>1240</v>
      </c>
    </row>
    <row r="117" spans="1:3">
      <c r="A117" t="s">
        <v>864</v>
      </c>
      <c r="B117" t="s">
        <v>1606</v>
      </c>
      <c r="C117" t="s">
        <v>1238</v>
      </c>
    </row>
    <row r="118" spans="1:3">
      <c r="A118" t="s">
        <v>864</v>
      </c>
      <c r="B118" t="s">
        <v>1606</v>
      </c>
      <c r="C118" t="s">
        <v>1236</v>
      </c>
    </row>
    <row r="119" spans="1:3">
      <c r="A119" t="s">
        <v>864</v>
      </c>
      <c r="B119" t="s">
        <v>1606</v>
      </c>
      <c r="C119" t="s">
        <v>1234</v>
      </c>
    </row>
    <row r="120" spans="1:3">
      <c r="A120" t="s">
        <v>864</v>
      </c>
      <c r="B120" t="s">
        <v>1606</v>
      </c>
      <c r="C120" t="s">
        <v>1232</v>
      </c>
    </row>
    <row r="121" spans="1:3">
      <c r="A121" t="s">
        <v>864</v>
      </c>
      <c r="B121" t="s">
        <v>1606</v>
      </c>
      <c r="C121" t="s">
        <v>1230</v>
      </c>
    </row>
    <row r="122" spans="1:3">
      <c r="A122" t="s">
        <v>864</v>
      </c>
      <c r="B122" t="s">
        <v>1606</v>
      </c>
      <c r="C122" t="s">
        <v>1228</v>
      </c>
    </row>
    <row r="123" spans="1:3">
      <c r="A123" t="s">
        <v>864</v>
      </c>
      <c r="B123" t="s">
        <v>1606</v>
      </c>
      <c r="C123" t="s">
        <v>1226</v>
      </c>
    </row>
    <row r="124" spans="1:3">
      <c r="A124" t="s">
        <v>864</v>
      </c>
      <c r="B124" t="s">
        <v>1606</v>
      </c>
      <c r="C124" t="s">
        <v>1224</v>
      </c>
    </row>
    <row r="125" spans="1:3">
      <c r="A125" t="s">
        <v>864</v>
      </c>
      <c r="B125" t="s">
        <v>1606</v>
      </c>
      <c r="C125" t="s">
        <v>1222</v>
      </c>
    </row>
    <row r="126" spans="1:3">
      <c r="A126" t="s">
        <v>864</v>
      </c>
      <c r="B126" t="s">
        <v>1606</v>
      </c>
      <c r="C126" t="s">
        <v>1220</v>
      </c>
    </row>
    <row r="127" spans="1:3">
      <c r="A127" t="s">
        <v>864</v>
      </c>
      <c r="B127" t="s">
        <v>1606</v>
      </c>
      <c r="C127" t="s">
        <v>1218</v>
      </c>
    </row>
    <row r="128" spans="1:3">
      <c r="A128" t="s">
        <v>864</v>
      </c>
      <c r="B128" t="s">
        <v>1606</v>
      </c>
      <c r="C128" t="s">
        <v>1216</v>
      </c>
    </row>
    <row r="129" spans="1:3">
      <c r="A129" t="s">
        <v>864</v>
      </c>
      <c r="B129" t="s">
        <v>1606</v>
      </c>
      <c r="C129" t="s">
        <v>1214</v>
      </c>
    </row>
    <row r="130" spans="1:3">
      <c r="A130" t="s">
        <v>864</v>
      </c>
      <c r="B130" t="s">
        <v>1606</v>
      </c>
      <c r="C130" t="s">
        <v>1212</v>
      </c>
    </row>
    <row r="131" spans="1:3">
      <c r="A131" t="s">
        <v>864</v>
      </c>
      <c r="B131" t="s">
        <v>1606</v>
      </c>
      <c r="C131" t="s">
        <v>1210</v>
      </c>
    </row>
    <row r="132" spans="1:3">
      <c r="A132" t="s">
        <v>864</v>
      </c>
      <c r="B132" t="s">
        <v>1606</v>
      </c>
      <c r="C132" t="s">
        <v>1208</v>
      </c>
    </row>
    <row r="133" spans="1:3">
      <c r="A133" t="s">
        <v>864</v>
      </c>
      <c r="B133" t="s">
        <v>1606</v>
      </c>
      <c r="C133" t="s">
        <v>1206</v>
      </c>
    </row>
    <row r="134" spans="1:3">
      <c r="A134" t="s">
        <v>864</v>
      </c>
      <c r="B134" t="s">
        <v>1606</v>
      </c>
      <c r="C134" t="s">
        <v>1204</v>
      </c>
    </row>
    <row r="135" spans="1:3">
      <c r="A135" t="s">
        <v>864</v>
      </c>
      <c r="B135" t="s">
        <v>1606</v>
      </c>
      <c r="C135" t="s">
        <v>1202</v>
      </c>
    </row>
    <row r="136" spans="1:3">
      <c r="A136" t="s">
        <v>864</v>
      </c>
      <c r="B136" t="s">
        <v>1606</v>
      </c>
      <c r="C136" t="s">
        <v>1200</v>
      </c>
    </row>
    <row r="137" spans="1:3">
      <c r="A137" t="s">
        <v>864</v>
      </c>
      <c r="B137" t="s">
        <v>1606</v>
      </c>
      <c r="C137" t="s">
        <v>1198</v>
      </c>
    </row>
    <row r="138" spans="1:3">
      <c r="A138" t="s">
        <v>864</v>
      </c>
      <c r="B138" t="s">
        <v>1606</v>
      </c>
      <c r="C138" t="s">
        <v>1196</v>
      </c>
    </row>
    <row r="139" spans="1:3">
      <c r="A139" t="s">
        <v>864</v>
      </c>
      <c r="B139" t="s">
        <v>1606</v>
      </c>
      <c r="C139" t="s">
        <v>1194</v>
      </c>
    </row>
    <row r="140" spans="1:3">
      <c r="A140" t="s">
        <v>864</v>
      </c>
      <c r="B140" t="s">
        <v>1606</v>
      </c>
      <c r="C140" t="s">
        <v>1192</v>
      </c>
    </row>
    <row r="141" spans="1:3">
      <c r="A141" t="s">
        <v>864</v>
      </c>
      <c r="B141" t="s">
        <v>1606</v>
      </c>
      <c r="C141" t="s">
        <v>1190</v>
      </c>
    </row>
    <row r="142" spans="1:3">
      <c r="A142" t="s">
        <v>864</v>
      </c>
      <c r="B142" t="s">
        <v>1606</v>
      </c>
      <c r="C142" t="s">
        <v>1188</v>
      </c>
    </row>
    <row r="143" spans="1:3">
      <c r="A143" t="s">
        <v>864</v>
      </c>
      <c r="B143" t="s">
        <v>1606</v>
      </c>
      <c r="C143" t="s">
        <v>1186</v>
      </c>
    </row>
    <row r="144" spans="1:3">
      <c r="A144" t="s">
        <v>864</v>
      </c>
      <c r="B144" t="s">
        <v>1606</v>
      </c>
      <c r="C144" t="s">
        <v>1184</v>
      </c>
    </row>
    <row r="145" spans="1:3">
      <c r="A145" t="s">
        <v>864</v>
      </c>
      <c r="B145" t="s">
        <v>1606</v>
      </c>
      <c r="C145" t="s">
        <v>1182</v>
      </c>
    </row>
    <row r="146" spans="1:3">
      <c r="A146" t="s">
        <v>864</v>
      </c>
      <c r="B146" t="s">
        <v>1606</v>
      </c>
      <c r="C146" t="s">
        <v>1179</v>
      </c>
    </row>
    <row r="147" spans="1:3">
      <c r="A147" t="s">
        <v>864</v>
      </c>
      <c r="B147" t="s">
        <v>1606</v>
      </c>
      <c r="C147" t="s">
        <v>1177</v>
      </c>
    </row>
    <row r="148" spans="1:3">
      <c r="A148" t="s">
        <v>864</v>
      </c>
      <c r="B148" t="s">
        <v>1606</v>
      </c>
      <c r="C148" t="s">
        <v>1175</v>
      </c>
    </row>
    <row r="149" spans="1:3">
      <c r="A149" t="s">
        <v>864</v>
      </c>
      <c r="B149" t="s">
        <v>1606</v>
      </c>
      <c r="C149" t="s">
        <v>1173</v>
      </c>
    </row>
    <row r="150" spans="1:3">
      <c r="A150" t="s">
        <v>864</v>
      </c>
      <c r="B150" t="s">
        <v>1606</v>
      </c>
      <c r="C150" t="s">
        <v>1171</v>
      </c>
    </row>
    <row r="151" spans="1:3">
      <c r="A151" t="s">
        <v>864</v>
      </c>
      <c r="B151" t="s">
        <v>1606</v>
      </c>
      <c r="C151" t="s">
        <v>1169</v>
      </c>
    </row>
    <row r="152" spans="1:3">
      <c r="A152" t="s">
        <v>864</v>
      </c>
      <c r="B152" t="s">
        <v>1606</v>
      </c>
      <c r="C152" t="s">
        <v>1167</v>
      </c>
    </row>
    <row r="153" spans="1:3">
      <c r="A153" t="s">
        <v>864</v>
      </c>
      <c r="B153" t="s">
        <v>1606</v>
      </c>
      <c r="C153" t="s">
        <v>1165</v>
      </c>
    </row>
    <row r="154" spans="1:3">
      <c r="A154" t="s">
        <v>864</v>
      </c>
      <c r="B154" t="s">
        <v>1606</v>
      </c>
      <c r="C154" t="s">
        <v>1163</v>
      </c>
    </row>
    <row r="155" spans="1:3">
      <c r="A155" t="s">
        <v>864</v>
      </c>
      <c r="B155" t="s">
        <v>1606</v>
      </c>
      <c r="C155" t="s">
        <v>1159</v>
      </c>
    </row>
    <row r="156" spans="1:3">
      <c r="A156" t="s">
        <v>864</v>
      </c>
      <c r="B156" t="s">
        <v>1606</v>
      </c>
      <c r="C156" t="s">
        <v>1157</v>
      </c>
    </row>
    <row r="157" spans="1:3">
      <c r="A157" t="s">
        <v>864</v>
      </c>
      <c r="B157" t="s">
        <v>1606</v>
      </c>
      <c r="C157" t="s">
        <v>1155</v>
      </c>
    </row>
    <row r="158" spans="1:3">
      <c r="A158" t="s">
        <v>864</v>
      </c>
      <c r="B158" t="s">
        <v>1606</v>
      </c>
      <c r="C158" t="s">
        <v>1153</v>
      </c>
    </row>
    <row r="159" spans="1:3">
      <c r="A159" t="s">
        <v>864</v>
      </c>
      <c r="B159" t="s">
        <v>1606</v>
      </c>
      <c r="C159" t="s">
        <v>1151</v>
      </c>
    </row>
    <row r="160" spans="1:3">
      <c r="A160" t="s">
        <v>864</v>
      </c>
      <c r="B160" t="s">
        <v>1606</v>
      </c>
      <c r="C160" t="s">
        <v>1149</v>
      </c>
    </row>
    <row r="161" spans="1:3">
      <c r="A161" t="s">
        <v>864</v>
      </c>
      <c r="B161" t="s">
        <v>1606</v>
      </c>
      <c r="C161" t="s">
        <v>1147</v>
      </c>
    </row>
    <row r="162" spans="1:3">
      <c r="A162" t="s">
        <v>864</v>
      </c>
      <c r="B162" t="s">
        <v>1606</v>
      </c>
      <c r="C162" t="s">
        <v>1145</v>
      </c>
    </row>
    <row r="163" spans="1:3">
      <c r="A163" t="s">
        <v>864</v>
      </c>
      <c r="B163" t="s">
        <v>1606</v>
      </c>
      <c r="C163" t="s">
        <v>1143</v>
      </c>
    </row>
    <row r="164" spans="1:3">
      <c r="A164" t="s">
        <v>864</v>
      </c>
      <c r="B164" t="s">
        <v>1606</v>
      </c>
      <c r="C164" t="s">
        <v>1141</v>
      </c>
    </row>
    <row r="165" spans="1:3">
      <c r="A165" t="s">
        <v>864</v>
      </c>
      <c r="B165" t="s">
        <v>1606</v>
      </c>
      <c r="C165" t="s">
        <v>1139</v>
      </c>
    </row>
    <row r="166" spans="1:3">
      <c r="A166" t="s">
        <v>864</v>
      </c>
      <c r="B166" t="s">
        <v>1606</v>
      </c>
      <c r="C166" t="s">
        <v>1137</v>
      </c>
    </row>
    <row r="167" spans="1:3">
      <c r="A167" t="s">
        <v>864</v>
      </c>
      <c r="B167" t="s">
        <v>1606</v>
      </c>
      <c r="C167" t="s">
        <v>1135</v>
      </c>
    </row>
    <row r="168" spans="1:3">
      <c r="A168" t="s">
        <v>864</v>
      </c>
      <c r="B168" t="s">
        <v>1606</v>
      </c>
      <c r="C168" t="s">
        <v>1133</v>
      </c>
    </row>
    <row r="169" spans="1:3">
      <c r="A169" t="s">
        <v>864</v>
      </c>
      <c r="B169" t="s">
        <v>1606</v>
      </c>
      <c r="C169" t="s">
        <v>1131</v>
      </c>
    </row>
    <row r="170" spans="1:3">
      <c r="A170" t="s">
        <v>864</v>
      </c>
      <c r="B170" t="s">
        <v>1606</v>
      </c>
      <c r="C170" t="s">
        <v>1129</v>
      </c>
    </row>
    <row r="171" spans="1:3">
      <c r="A171" t="s">
        <v>864</v>
      </c>
      <c r="B171" t="s">
        <v>1606</v>
      </c>
      <c r="C171" t="s">
        <v>1127</v>
      </c>
    </row>
    <row r="172" spans="1:3">
      <c r="A172" t="s">
        <v>864</v>
      </c>
      <c r="B172" t="s">
        <v>1606</v>
      </c>
      <c r="C172" t="s">
        <v>1125</v>
      </c>
    </row>
    <row r="173" spans="1:3">
      <c r="A173" t="s">
        <v>864</v>
      </c>
      <c r="B173" t="s">
        <v>1606</v>
      </c>
      <c r="C173" t="s">
        <v>1123</v>
      </c>
    </row>
    <row r="174" spans="1:3">
      <c r="A174" t="s">
        <v>864</v>
      </c>
      <c r="B174" t="s">
        <v>1606</v>
      </c>
      <c r="C174" t="s">
        <v>1121</v>
      </c>
    </row>
    <row r="175" spans="1:3">
      <c r="A175" t="s">
        <v>864</v>
      </c>
      <c r="B175" t="s">
        <v>1606</v>
      </c>
      <c r="C175" t="s">
        <v>1119</v>
      </c>
    </row>
    <row r="176" spans="1:3">
      <c r="A176" t="s">
        <v>864</v>
      </c>
      <c r="B176" t="s">
        <v>1606</v>
      </c>
      <c r="C176" t="s">
        <v>1117</v>
      </c>
    </row>
    <row r="177" spans="1:3">
      <c r="A177" t="s">
        <v>864</v>
      </c>
      <c r="B177" t="s">
        <v>1606</v>
      </c>
      <c r="C177" t="s">
        <v>1115</v>
      </c>
    </row>
    <row r="178" spans="1:3">
      <c r="A178" t="s">
        <v>864</v>
      </c>
      <c r="B178" t="s">
        <v>1606</v>
      </c>
      <c r="C178" t="s">
        <v>1113</v>
      </c>
    </row>
    <row r="179" spans="1:3">
      <c r="A179" t="s">
        <v>864</v>
      </c>
      <c r="B179" t="s">
        <v>1606</v>
      </c>
      <c r="C179" t="s">
        <v>1111</v>
      </c>
    </row>
    <row r="180" spans="1:3">
      <c r="A180" t="s">
        <v>864</v>
      </c>
      <c r="B180" t="s">
        <v>1606</v>
      </c>
      <c r="C180" t="s">
        <v>1109</v>
      </c>
    </row>
    <row r="181" spans="1:3">
      <c r="A181" t="s">
        <v>864</v>
      </c>
      <c r="B181" t="s">
        <v>1606</v>
      </c>
      <c r="C181" t="s">
        <v>1107</v>
      </c>
    </row>
    <row r="182" spans="1:3">
      <c r="A182" t="s">
        <v>864</v>
      </c>
      <c r="B182" t="s">
        <v>1606</v>
      </c>
      <c r="C182" t="s">
        <v>1105</v>
      </c>
    </row>
    <row r="183" spans="1:3">
      <c r="A183" t="s">
        <v>864</v>
      </c>
      <c r="B183" t="s">
        <v>1606</v>
      </c>
      <c r="C183" t="s">
        <v>1103</v>
      </c>
    </row>
    <row r="184" spans="1:3">
      <c r="A184" t="s">
        <v>864</v>
      </c>
      <c r="B184" t="s">
        <v>1606</v>
      </c>
      <c r="C184" t="s">
        <v>1101</v>
      </c>
    </row>
    <row r="185" spans="1:3">
      <c r="A185" t="s">
        <v>864</v>
      </c>
      <c r="B185" t="s">
        <v>1606</v>
      </c>
      <c r="C185" t="s">
        <v>1099</v>
      </c>
    </row>
    <row r="186" spans="1:3">
      <c r="A186" t="s">
        <v>864</v>
      </c>
      <c r="B186" t="s">
        <v>1606</v>
      </c>
      <c r="C186" t="s">
        <v>1097</v>
      </c>
    </row>
    <row r="187" spans="1:3">
      <c r="A187" t="s">
        <v>864</v>
      </c>
      <c r="B187" t="s">
        <v>1606</v>
      </c>
      <c r="C187" t="s">
        <v>1095</v>
      </c>
    </row>
    <row r="188" spans="1:3">
      <c r="A188" t="s">
        <v>864</v>
      </c>
      <c r="B188" t="s">
        <v>1606</v>
      </c>
      <c r="C188" t="s">
        <v>1093</v>
      </c>
    </row>
    <row r="189" spans="1:3">
      <c r="A189" t="s">
        <v>864</v>
      </c>
      <c r="B189" t="s">
        <v>1606</v>
      </c>
      <c r="C189" t="s">
        <v>1091</v>
      </c>
    </row>
    <row r="190" spans="1:3">
      <c r="A190" t="s">
        <v>864</v>
      </c>
      <c r="B190" t="s">
        <v>1606</v>
      </c>
      <c r="C190" t="s">
        <v>1089</v>
      </c>
    </row>
    <row r="191" spans="1:3">
      <c r="A191" t="s">
        <v>864</v>
      </c>
      <c r="B191" t="s">
        <v>1606</v>
      </c>
      <c r="C191" t="s">
        <v>1087</v>
      </c>
    </row>
    <row r="192" spans="1:3">
      <c r="A192" t="s">
        <v>864</v>
      </c>
      <c r="B192" t="s">
        <v>1606</v>
      </c>
      <c r="C192" t="s">
        <v>1085</v>
      </c>
    </row>
    <row r="193" spans="1:3">
      <c r="A193" t="s">
        <v>864</v>
      </c>
      <c r="B193" t="s">
        <v>1606</v>
      </c>
      <c r="C193" t="s">
        <v>1083</v>
      </c>
    </row>
    <row r="194" spans="1:3">
      <c r="A194" t="s">
        <v>864</v>
      </c>
      <c r="B194" t="s">
        <v>1606</v>
      </c>
      <c r="C194" t="s">
        <v>1081</v>
      </c>
    </row>
    <row r="195" spans="1:3">
      <c r="A195" t="s">
        <v>864</v>
      </c>
      <c r="B195" t="s">
        <v>1606</v>
      </c>
      <c r="C195" t="s">
        <v>1079</v>
      </c>
    </row>
    <row r="196" spans="1:3">
      <c r="A196" t="s">
        <v>864</v>
      </c>
      <c r="B196" t="s">
        <v>1606</v>
      </c>
      <c r="C196" t="s">
        <v>1077</v>
      </c>
    </row>
    <row r="197" spans="1:3">
      <c r="A197" t="s">
        <v>864</v>
      </c>
      <c r="B197" t="s">
        <v>1606</v>
      </c>
      <c r="C197" t="s">
        <v>1075</v>
      </c>
    </row>
    <row r="198" spans="1:3">
      <c r="A198" t="s">
        <v>864</v>
      </c>
      <c r="B198" t="s">
        <v>1606</v>
      </c>
      <c r="C198" t="s">
        <v>1073</v>
      </c>
    </row>
    <row r="199" spans="1:3">
      <c r="A199" t="s">
        <v>864</v>
      </c>
      <c r="B199" t="s">
        <v>1606</v>
      </c>
      <c r="C199" t="s">
        <v>1071</v>
      </c>
    </row>
    <row r="200" spans="1:3">
      <c r="A200" t="s">
        <v>864</v>
      </c>
      <c r="B200" t="s">
        <v>1606</v>
      </c>
      <c r="C200" t="s">
        <v>1069</v>
      </c>
    </row>
    <row r="201" spans="1:3">
      <c r="A201" t="s">
        <v>864</v>
      </c>
      <c r="B201" t="s">
        <v>1606</v>
      </c>
      <c r="C201" t="s">
        <v>1067</v>
      </c>
    </row>
    <row r="202" spans="1:3">
      <c r="A202" t="s">
        <v>864</v>
      </c>
      <c r="B202" t="s">
        <v>1606</v>
      </c>
      <c r="C202" t="s">
        <v>1065</v>
      </c>
    </row>
    <row r="203" spans="1:3">
      <c r="A203" t="s">
        <v>864</v>
      </c>
      <c r="B203" t="s">
        <v>1606</v>
      </c>
      <c r="C203" t="s">
        <v>1063</v>
      </c>
    </row>
    <row r="204" spans="1:3">
      <c r="A204" t="s">
        <v>864</v>
      </c>
      <c r="B204" t="s">
        <v>1606</v>
      </c>
      <c r="C204" t="s">
        <v>1061</v>
      </c>
    </row>
    <row r="205" spans="1:3">
      <c r="A205" t="s">
        <v>864</v>
      </c>
      <c r="B205" t="s">
        <v>1606</v>
      </c>
      <c r="C205" t="s">
        <v>1059</v>
      </c>
    </row>
    <row r="206" spans="1:3">
      <c r="A206" t="s">
        <v>864</v>
      </c>
      <c r="B206" t="s">
        <v>1606</v>
      </c>
      <c r="C206" t="s">
        <v>1057</v>
      </c>
    </row>
    <row r="207" spans="1:3">
      <c r="A207" t="s">
        <v>864</v>
      </c>
      <c r="B207" t="s">
        <v>1606</v>
      </c>
      <c r="C207" t="s">
        <v>1055</v>
      </c>
    </row>
    <row r="208" spans="1:3">
      <c r="A208" t="s">
        <v>864</v>
      </c>
      <c r="B208" t="s">
        <v>1606</v>
      </c>
      <c r="C208" t="s">
        <v>1053</v>
      </c>
    </row>
    <row r="209" spans="1:3">
      <c r="A209" t="s">
        <v>864</v>
      </c>
      <c r="B209" t="s">
        <v>1606</v>
      </c>
      <c r="C209" t="s">
        <v>1051</v>
      </c>
    </row>
    <row r="210" spans="1:3">
      <c r="A210" t="s">
        <v>864</v>
      </c>
      <c r="B210" t="s">
        <v>1606</v>
      </c>
      <c r="C210" t="s">
        <v>1049</v>
      </c>
    </row>
    <row r="211" spans="1:3">
      <c r="A211" t="s">
        <v>864</v>
      </c>
      <c r="B211" t="s">
        <v>1606</v>
      </c>
      <c r="C211" t="s">
        <v>1047</v>
      </c>
    </row>
    <row r="212" spans="1:3">
      <c r="A212" t="s">
        <v>864</v>
      </c>
      <c r="B212" t="s">
        <v>1606</v>
      </c>
      <c r="C212" t="s">
        <v>1045</v>
      </c>
    </row>
    <row r="213" spans="1:3">
      <c r="A213" t="s">
        <v>864</v>
      </c>
      <c r="B213" t="s">
        <v>1606</v>
      </c>
      <c r="C213" t="s">
        <v>1043</v>
      </c>
    </row>
    <row r="214" spans="1:3">
      <c r="A214" t="s">
        <v>864</v>
      </c>
      <c r="B214" t="s">
        <v>1606</v>
      </c>
      <c r="C214" t="s">
        <v>1041</v>
      </c>
    </row>
    <row r="215" spans="1:3">
      <c r="A215" t="s">
        <v>864</v>
      </c>
      <c r="B215" t="s">
        <v>1606</v>
      </c>
      <c r="C215" t="s">
        <v>1039</v>
      </c>
    </row>
    <row r="216" spans="1:3">
      <c r="A216" t="s">
        <v>864</v>
      </c>
      <c r="B216" t="s">
        <v>1606</v>
      </c>
      <c r="C216" t="s">
        <v>1037</v>
      </c>
    </row>
    <row r="217" spans="1:3">
      <c r="A217" t="s">
        <v>864</v>
      </c>
      <c r="B217" t="s">
        <v>1606</v>
      </c>
      <c r="C217" t="s">
        <v>1035</v>
      </c>
    </row>
    <row r="218" spans="1:3">
      <c r="A218" t="s">
        <v>864</v>
      </c>
      <c r="B218" t="s">
        <v>1606</v>
      </c>
      <c r="C218" t="s">
        <v>1033</v>
      </c>
    </row>
    <row r="219" spans="1:3">
      <c r="A219" t="s">
        <v>864</v>
      </c>
      <c r="B219" t="s">
        <v>1606</v>
      </c>
      <c r="C219" t="s">
        <v>1031</v>
      </c>
    </row>
    <row r="220" spans="1:3">
      <c r="A220" t="s">
        <v>864</v>
      </c>
      <c r="B220" t="s">
        <v>1606</v>
      </c>
      <c r="C220" t="s">
        <v>1029</v>
      </c>
    </row>
    <row r="221" spans="1:3">
      <c r="A221" t="s">
        <v>864</v>
      </c>
      <c r="B221" t="s">
        <v>1606</v>
      </c>
      <c r="C221" t="s">
        <v>1027</v>
      </c>
    </row>
    <row r="222" spans="1:3">
      <c r="A222" t="s">
        <v>864</v>
      </c>
      <c r="B222" t="s">
        <v>1606</v>
      </c>
      <c r="C222" t="s">
        <v>1025</v>
      </c>
    </row>
    <row r="223" spans="1:3">
      <c r="A223" t="s">
        <v>864</v>
      </c>
      <c r="B223" t="s">
        <v>1606</v>
      </c>
      <c r="C223" t="s">
        <v>1023</v>
      </c>
    </row>
    <row r="224" spans="1:3">
      <c r="A224" t="s">
        <v>864</v>
      </c>
      <c r="B224" t="s">
        <v>1606</v>
      </c>
      <c r="C224" t="s">
        <v>1021</v>
      </c>
    </row>
    <row r="225" spans="1:3">
      <c r="A225" t="s">
        <v>864</v>
      </c>
      <c r="B225" t="s">
        <v>1606</v>
      </c>
      <c r="C225" t="s">
        <v>1019</v>
      </c>
    </row>
    <row r="226" spans="1:3">
      <c r="A226" t="s">
        <v>864</v>
      </c>
      <c r="B226" t="s">
        <v>1606</v>
      </c>
      <c r="C226" t="s">
        <v>1017</v>
      </c>
    </row>
    <row r="227" spans="1:3">
      <c r="A227" t="s">
        <v>864</v>
      </c>
      <c r="B227" t="s">
        <v>1606</v>
      </c>
      <c r="C227" t="s">
        <v>1015</v>
      </c>
    </row>
    <row r="228" spans="1:3">
      <c r="A228" t="s">
        <v>864</v>
      </c>
      <c r="B228" t="s">
        <v>1606</v>
      </c>
      <c r="C228" t="s">
        <v>1013</v>
      </c>
    </row>
    <row r="229" spans="1:3">
      <c r="A229" t="s">
        <v>864</v>
      </c>
      <c r="B229" t="s">
        <v>1606</v>
      </c>
      <c r="C229" t="s">
        <v>1011</v>
      </c>
    </row>
    <row r="230" spans="1:3">
      <c r="A230" t="s">
        <v>864</v>
      </c>
      <c r="B230" t="s">
        <v>1606</v>
      </c>
      <c r="C230" t="s">
        <v>1009</v>
      </c>
    </row>
    <row r="231" spans="1:3">
      <c r="A231" t="s">
        <v>864</v>
      </c>
      <c r="B231" t="s">
        <v>1606</v>
      </c>
      <c r="C231" t="s">
        <v>1007</v>
      </c>
    </row>
    <row r="232" spans="1:3">
      <c r="A232" t="s">
        <v>864</v>
      </c>
      <c r="B232" t="s">
        <v>1606</v>
      </c>
      <c r="C232" t="s">
        <v>1005</v>
      </c>
    </row>
    <row r="233" spans="1:3">
      <c r="A233" t="s">
        <v>864</v>
      </c>
      <c r="B233" t="s">
        <v>1606</v>
      </c>
      <c r="C233" t="s">
        <v>1003</v>
      </c>
    </row>
    <row r="234" spans="1:3">
      <c r="A234" t="s">
        <v>864</v>
      </c>
      <c r="B234" t="s">
        <v>1606</v>
      </c>
      <c r="C234" t="s">
        <v>1001</v>
      </c>
    </row>
    <row r="235" spans="1:3">
      <c r="A235" t="s">
        <v>864</v>
      </c>
      <c r="B235" t="s">
        <v>1606</v>
      </c>
      <c r="C235" t="s">
        <v>999</v>
      </c>
    </row>
    <row r="236" spans="1:3">
      <c r="A236" t="s">
        <v>864</v>
      </c>
      <c r="B236" t="s">
        <v>1606</v>
      </c>
      <c r="C236" t="s">
        <v>997</v>
      </c>
    </row>
    <row r="237" spans="1:3">
      <c r="A237" t="s">
        <v>864</v>
      </c>
      <c r="B237" t="s">
        <v>1606</v>
      </c>
      <c r="C237" t="s">
        <v>995</v>
      </c>
    </row>
    <row r="238" spans="1:3">
      <c r="A238" t="s">
        <v>864</v>
      </c>
      <c r="B238" t="s">
        <v>1606</v>
      </c>
      <c r="C238" t="s">
        <v>994</v>
      </c>
    </row>
    <row r="239" spans="1:3">
      <c r="A239" t="s">
        <v>864</v>
      </c>
      <c r="B239" t="s">
        <v>1606</v>
      </c>
      <c r="C239" t="s">
        <v>992</v>
      </c>
    </row>
    <row r="240" spans="1:3">
      <c r="A240" t="s">
        <v>864</v>
      </c>
      <c r="B240" t="s">
        <v>1606</v>
      </c>
      <c r="C240" t="s">
        <v>990</v>
      </c>
    </row>
    <row r="241" spans="1:3">
      <c r="A241" t="s">
        <v>864</v>
      </c>
      <c r="B241" t="s">
        <v>1606</v>
      </c>
      <c r="C241" t="s">
        <v>988</v>
      </c>
    </row>
    <row r="242" spans="1:3">
      <c r="A242" t="s">
        <v>864</v>
      </c>
      <c r="B242" t="s">
        <v>1606</v>
      </c>
      <c r="C242" t="s">
        <v>987</v>
      </c>
    </row>
    <row r="243" spans="1:3">
      <c r="A243" t="s">
        <v>864</v>
      </c>
      <c r="B243" t="s">
        <v>1606</v>
      </c>
      <c r="C243" t="s">
        <v>985</v>
      </c>
    </row>
    <row r="244" spans="1:3">
      <c r="A244" t="s">
        <v>864</v>
      </c>
      <c r="B244" t="s">
        <v>1606</v>
      </c>
      <c r="C244" t="s">
        <v>984</v>
      </c>
    </row>
    <row r="245" spans="1:3">
      <c r="A245" t="s">
        <v>864</v>
      </c>
      <c r="B245" t="s">
        <v>1606</v>
      </c>
      <c r="C245" t="s">
        <v>982</v>
      </c>
    </row>
    <row r="246" spans="1:3">
      <c r="A246" t="s">
        <v>864</v>
      </c>
      <c r="B246" t="s">
        <v>1606</v>
      </c>
      <c r="C246" t="s">
        <v>980</v>
      </c>
    </row>
    <row r="247" spans="1:3">
      <c r="A247" t="s">
        <v>864</v>
      </c>
      <c r="B247" t="s">
        <v>1606</v>
      </c>
      <c r="C247" t="s">
        <v>974</v>
      </c>
    </row>
    <row r="248" spans="1:3">
      <c r="A248" t="s">
        <v>864</v>
      </c>
      <c r="B248" t="s">
        <v>1606</v>
      </c>
      <c r="C248" t="s">
        <v>972</v>
      </c>
    </row>
    <row r="249" spans="1:3">
      <c r="A249" t="s">
        <v>864</v>
      </c>
      <c r="B249" t="s">
        <v>1606</v>
      </c>
      <c r="C249" t="s">
        <v>970</v>
      </c>
    </row>
    <row r="250" spans="1:3">
      <c r="A250" t="s">
        <v>864</v>
      </c>
      <c r="B250" t="s">
        <v>1606</v>
      </c>
      <c r="C250" t="s">
        <v>968</v>
      </c>
    </row>
    <row r="251" spans="1:3">
      <c r="A251" t="s">
        <v>864</v>
      </c>
      <c r="B251" t="s">
        <v>1606</v>
      </c>
      <c r="C251" t="s">
        <v>966</v>
      </c>
    </row>
    <row r="252" spans="1:3">
      <c r="A252" t="s">
        <v>864</v>
      </c>
      <c r="B252" t="s">
        <v>1606</v>
      </c>
      <c r="C252" t="s">
        <v>964</v>
      </c>
    </row>
    <row r="253" spans="1:3">
      <c r="A253" t="s">
        <v>864</v>
      </c>
      <c r="B253" t="s">
        <v>1606</v>
      </c>
      <c r="C253" t="s">
        <v>962</v>
      </c>
    </row>
    <row r="254" spans="1:3">
      <c r="A254" t="s">
        <v>864</v>
      </c>
      <c r="B254" t="s">
        <v>1606</v>
      </c>
      <c r="C254" t="s">
        <v>960</v>
      </c>
    </row>
    <row r="255" spans="1:3">
      <c r="A255" t="s">
        <v>864</v>
      </c>
      <c r="B255" t="s">
        <v>1606</v>
      </c>
      <c r="C255" t="s">
        <v>958</v>
      </c>
    </row>
    <row r="256" spans="1:3">
      <c r="A256" t="s">
        <v>864</v>
      </c>
      <c r="B256" t="s">
        <v>1606</v>
      </c>
      <c r="C256" t="s">
        <v>956</v>
      </c>
    </row>
    <row r="257" spans="1:3">
      <c r="A257" t="s">
        <v>864</v>
      </c>
      <c r="B257" t="s">
        <v>1606</v>
      </c>
      <c r="C257" t="s">
        <v>954</v>
      </c>
    </row>
    <row r="258" spans="1:3">
      <c r="A258" t="s">
        <v>864</v>
      </c>
      <c r="B258" t="s">
        <v>1606</v>
      </c>
      <c r="C258" t="s">
        <v>952</v>
      </c>
    </row>
    <row r="259" spans="1:3">
      <c r="A259" t="s">
        <v>864</v>
      </c>
      <c r="B259" t="s">
        <v>1606</v>
      </c>
      <c r="C259" t="s">
        <v>950</v>
      </c>
    </row>
    <row r="260" spans="1:3">
      <c r="A260" t="s">
        <v>864</v>
      </c>
      <c r="B260" t="s">
        <v>1606</v>
      </c>
      <c r="C260" t="s">
        <v>947</v>
      </c>
    </row>
    <row r="261" spans="1:3">
      <c r="A261" t="s">
        <v>864</v>
      </c>
      <c r="B261" t="s">
        <v>1606</v>
      </c>
      <c r="C261" t="s">
        <v>946</v>
      </c>
    </row>
    <row r="262" spans="1:3">
      <c r="A262" t="s">
        <v>864</v>
      </c>
      <c r="B262" t="s">
        <v>1606</v>
      </c>
      <c r="C262" t="s">
        <v>944</v>
      </c>
    </row>
    <row r="263" spans="1:3">
      <c r="A263" t="s">
        <v>864</v>
      </c>
      <c r="B263" t="s">
        <v>1606</v>
      </c>
      <c r="C263" t="s">
        <v>942</v>
      </c>
    </row>
    <row r="264" spans="1:3">
      <c r="A264" t="s">
        <v>864</v>
      </c>
      <c r="B264" t="s">
        <v>1606</v>
      </c>
      <c r="C264" t="s">
        <v>940</v>
      </c>
    </row>
    <row r="265" spans="1:3">
      <c r="A265" t="s">
        <v>864</v>
      </c>
      <c r="B265" t="s">
        <v>1606</v>
      </c>
      <c r="C265" t="s">
        <v>938</v>
      </c>
    </row>
    <row r="266" spans="1:3">
      <c r="A266" t="s">
        <v>864</v>
      </c>
      <c r="B266" t="s">
        <v>1606</v>
      </c>
      <c r="C266" t="s">
        <v>936</v>
      </c>
    </row>
    <row r="267" spans="1:3">
      <c r="A267" t="s">
        <v>864</v>
      </c>
      <c r="B267" t="s">
        <v>1606</v>
      </c>
      <c r="C267" t="s">
        <v>934</v>
      </c>
    </row>
    <row r="268" spans="1:3">
      <c r="A268" t="s">
        <v>864</v>
      </c>
      <c r="B268" t="s">
        <v>1606</v>
      </c>
      <c r="C268" t="s">
        <v>932</v>
      </c>
    </row>
    <row r="269" spans="1:3">
      <c r="A269" t="s">
        <v>864</v>
      </c>
      <c r="B269" t="s">
        <v>1606</v>
      </c>
      <c r="C269" t="s">
        <v>930</v>
      </c>
    </row>
    <row r="270" spans="1:3">
      <c r="A270" t="s">
        <v>864</v>
      </c>
      <c r="B270" t="s">
        <v>1606</v>
      </c>
      <c r="C270" t="s">
        <v>928</v>
      </c>
    </row>
    <row r="271" spans="1:3">
      <c r="A271" t="s">
        <v>864</v>
      </c>
      <c r="B271" t="s">
        <v>1606</v>
      </c>
      <c r="C271" t="s">
        <v>924</v>
      </c>
    </row>
    <row r="272" spans="1:3">
      <c r="A272" t="s">
        <v>864</v>
      </c>
      <c r="B272" t="s">
        <v>1606</v>
      </c>
      <c r="C272" t="s">
        <v>922</v>
      </c>
    </row>
    <row r="273" spans="1:3">
      <c r="A273" t="s">
        <v>864</v>
      </c>
      <c r="B273" t="s">
        <v>1606</v>
      </c>
      <c r="C273" t="s">
        <v>920</v>
      </c>
    </row>
    <row r="274" spans="1:3">
      <c r="A274" t="s">
        <v>864</v>
      </c>
      <c r="B274" t="s">
        <v>1606</v>
      </c>
      <c r="C274" t="s">
        <v>918</v>
      </c>
    </row>
    <row r="275" spans="1:3">
      <c r="A275" t="s">
        <v>864</v>
      </c>
      <c r="B275" t="s">
        <v>1606</v>
      </c>
      <c r="C275" t="s">
        <v>916</v>
      </c>
    </row>
    <row r="276" spans="1:3">
      <c r="A276" t="s">
        <v>864</v>
      </c>
      <c r="B276" t="s">
        <v>1606</v>
      </c>
      <c r="C276" t="s">
        <v>914</v>
      </c>
    </row>
    <row r="277" spans="1:3">
      <c r="A277" t="s">
        <v>864</v>
      </c>
      <c r="B277" t="s">
        <v>1606</v>
      </c>
      <c r="C277" t="s">
        <v>912</v>
      </c>
    </row>
    <row r="278" spans="1:3">
      <c r="A278" t="s">
        <v>864</v>
      </c>
      <c r="B278" t="s">
        <v>1606</v>
      </c>
      <c r="C278" t="s">
        <v>910</v>
      </c>
    </row>
    <row r="279" spans="1:3">
      <c r="A279" t="s">
        <v>864</v>
      </c>
      <c r="B279" t="s">
        <v>1606</v>
      </c>
      <c r="C279" t="s">
        <v>908</v>
      </c>
    </row>
    <row r="280" spans="1:3">
      <c r="A280" t="s">
        <v>864</v>
      </c>
      <c r="B280" t="s">
        <v>1606</v>
      </c>
      <c r="C280" t="s">
        <v>906</v>
      </c>
    </row>
    <row r="281" spans="1:3">
      <c r="A281" t="s">
        <v>864</v>
      </c>
      <c r="B281" t="s">
        <v>1606</v>
      </c>
      <c r="C281" t="s">
        <v>904</v>
      </c>
    </row>
    <row r="282" spans="1:3">
      <c r="A282" t="s">
        <v>864</v>
      </c>
      <c r="B282" t="s">
        <v>1606</v>
      </c>
      <c r="C282" t="s">
        <v>902</v>
      </c>
    </row>
    <row r="283" spans="1:3">
      <c r="A283" t="s">
        <v>864</v>
      </c>
      <c r="B283" t="s">
        <v>1606</v>
      </c>
      <c r="C283" t="s">
        <v>900</v>
      </c>
    </row>
    <row r="284" spans="1:3">
      <c r="A284" t="s">
        <v>864</v>
      </c>
      <c r="B284" t="s">
        <v>1606</v>
      </c>
      <c r="C284" t="s">
        <v>897</v>
      </c>
    </row>
    <row r="285" spans="1:3">
      <c r="A285" t="s">
        <v>864</v>
      </c>
      <c r="B285" t="s">
        <v>1606</v>
      </c>
      <c r="C285" t="s">
        <v>895</v>
      </c>
    </row>
    <row r="286" spans="1:3">
      <c r="A286" t="s">
        <v>864</v>
      </c>
      <c r="B286" t="s">
        <v>1606</v>
      </c>
      <c r="C286" t="s">
        <v>893</v>
      </c>
    </row>
    <row r="287" spans="1:3">
      <c r="A287" t="s">
        <v>864</v>
      </c>
      <c r="B287" t="s">
        <v>1606</v>
      </c>
      <c r="C287" t="s">
        <v>891</v>
      </c>
    </row>
    <row r="288" spans="1:3">
      <c r="A288" t="s">
        <v>864</v>
      </c>
      <c r="B288" t="s">
        <v>1606</v>
      </c>
      <c r="C288" t="s">
        <v>889</v>
      </c>
    </row>
    <row r="289" spans="1:3">
      <c r="A289" t="s">
        <v>864</v>
      </c>
      <c r="B289" t="s">
        <v>1606</v>
      </c>
      <c r="C289" t="s">
        <v>887</v>
      </c>
    </row>
    <row r="290" spans="1:3">
      <c r="A290" t="s">
        <v>864</v>
      </c>
      <c r="B290" t="s">
        <v>1606</v>
      </c>
      <c r="C290" t="s">
        <v>884</v>
      </c>
    </row>
    <row r="291" spans="1:3">
      <c r="A291" t="s">
        <v>864</v>
      </c>
      <c r="B291" t="s">
        <v>1606</v>
      </c>
      <c r="C291" t="s">
        <v>881</v>
      </c>
    </row>
    <row r="292" spans="1:3">
      <c r="A292" t="s">
        <v>864</v>
      </c>
      <c r="B292" t="s">
        <v>1606</v>
      </c>
      <c r="C292" t="s">
        <v>878</v>
      </c>
    </row>
    <row r="293" spans="1:3">
      <c r="A293" t="s">
        <v>864</v>
      </c>
      <c r="B293" t="s">
        <v>1606</v>
      </c>
      <c r="C293" t="s">
        <v>876</v>
      </c>
    </row>
    <row r="294" spans="1:3">
      <c r="A294" t="s">
        <v>864</v>
      </c>
      <c r="B294" t="s">
        <v>1606</v>
      </c>
      <c r="C294" t="s">
        <v>874</v>
      </c>
    </row>
    <row r="295" spans="1:3">
      <c r="A295" t="s">
        <v>864</v>
      </c>
      <c r="B295" t="s">
        <v>1606</v>
      </c>
      <c r="C295" t="s">
        <v>872</v>
      </c>
    </row>
    <row r="296" spans="1:3">
      <c r="A296" t="s">
        <v>864</v>
      </c>
      <c r="B296" t="s">
        <v>1606</v>
      </c>
      <c r="C296" t="s">
        <v>870</v>
      </c>
    </row>
    <row r="297" spans="1:3">
      <c r="A297" t="s">
        <v>864</v>
      </c>
      <c r="B297" t="s">
        <v>1606</v>
      </c>
      <c r="C297" t="s">
        <v>863</v>
      </c>
    </row>
    <row r="298" spans="1:3">
      <c r="A298" t="s">
        <v>864</v>
      </c>
      <c r="B298" t="s">
        <v>1606</v>
      </c>
      <c r="C298" t="s">
        <v>868</v>
      </c>
    </row>
    <row r="299" spans="1:3">
      <c r="A299" t="s">
        <v>864</v>
      </c>
      <c r="B299" t="s">
        <v>1606</v>
      </c>
      <c r="C299" t="s">
        <v>926</v>
      </c>
    </row>
    <row r="300" spans="1:3">
      <c r="A300" t="s">
        <v>864</v>
      </c>
      <c r="B300" t="s">
        <v>1606</v>
      </c>
      <c r="C300" t="s">
        <v>976</v>
      </c>
    </row>
    <row r="301" spans="1:3">
      <c r="A301" t="s">
        <v>864</v>
      </c>
      <c r="B301" t="s">
        <v>1606</v>
      </c>
      <c r="C301" t="s">
        <v>978</v>
      </c>
    </row>
    <row r="302" spans="1:3">
      <c r="A302" t="s">
        <v>864</v>
      </c>
      <c r="B302" t="s">
        <v>1606</v>
      </c>
      <c r="C302" t="s">
        <v>1161</v>
      </c>
    </row>
    <row r="303" spans="1:3">
      <c r="A303" t="s">
        <v>864</v>
      </c>
      <c r="B303" t="s">
        <v>1606</v>
      </c>
      <c r="C303" t="s">
        <v>1181</v>
      </c>
    </row>
    <row r="304" spans="1:3">
      <c r="A304" t="s">
        <v>864</v>
      </c>
      <c r="B304" t="s">
        <v>1606</v>
      </c>
      <c r="C304" t="s">
        <v>1252</v>
      </c>
    </row>
    <row r="305" spans="1:3">
      <c r="A305" t="s">
        <v>1470</v>
      </c>
      <c r="B305" t="s">
        <v>1606</v>
      </c>
      <c r="C305" t="s">
        <v>1469</v>
      </c>
    </row>
    <row r="306" spans="1:3">
      <c r="A306" t="s">
        <v>1470</v>
      </c>
      <c r="B306" t="s">
        <v>1606</v>
      </c>
      <c r="C306" t="s">
        <v>1472</v>
      </c>
    </row>
    <row r="307" spans="1:3">
      <c r="A307" t="s">
        <v>1470</v>
      </c>
      <c r="B307" t="s">
        <v>1606</v>
      </c>
      <c r="C307" t="s">
        <v>1474</v>
      </c>
    </row>
    <row r="308" spans="1:3">
      <c r="A308" t="s">
        <v>1470</v>
      </c>
      <c r="B308" t="s">
        <v>1606</v>
      </c>
      <c r="C308" t="s">
        <v>1476</v>
      </c>
    </row>
    <row r="309" spans="1:3">
      <c r="A309" t="s">
        <v>1470</v>
      </c>
      <c r="B309" t="s">
        <v>1606</v>
      </c>
      <c r="C309" t="s">
        <v>1477</v>
      </c>
    </row>
    <row r="310" spans="1:3">
      <c r="A310" t="s">
        <v>1470</v>
      </c>
      <c r="B310" t="s">
        <v>1606</v>
      </c>
      <c r="C310" t="s">
        <v>1479</v>
      </c>
    </row>
    <row r="311" spans="1:3">
      <c r="A311" t="s">
        <v>1470</v>
      </c>
      <c r="B311" t="s">
        <v>1606</v>
      </c>
      <c r="C311" t="s">
        <v>1482</v>
      </c>
    </row>
    <row r="312" spans="1:3">
      <c r="A312" t="s">
        <v>1470</v>
      </c>
      <c r="B312" t="s">
        <v>1606</v>
      </c>
      <c r="C312" t="s">
        <v>1483</v>
      </c>
    </row>
    <row r="313" spans="1:3">
      <c r="A313" t="s">
        <v>1470</v>
      </c>
      <c r="B313" t="s">
        <v>1606</v>
      </c>
      <c r="C313" t="s">
        <v>1484</v>
      </c>
    </row>
    <row r="314" spans="1:3">
      <c r="A314" t="s">
        <v>1470</v>
      </c>
      <c r="B314" t="s">
        <v>1606</v>
      </c>
      <c r="C314" t="s">
        <v>1486</v>
      </c>
    </row>
    <row r="315" spans="1:3">
      <c r="A315" t="s">
        <v>1470</v>
      </c>
      <c r="B315" t="s">
        <v>1606</v>
      </c>
      <c r="C315" t="s">
        <v>1487</v>
      </c>
    </row>
    <row r="316" spans="1:3">
      <c r="A316" t="s">
        <v>1470</v>
      </c>
      <c r="B316" t="s">
        <v>1606</v>
      </c>
      <c r="C316" t="s">
        <v>1489</v>
      </c>
    </row>
    <row r="317" spans="1:3">
      <c r="A317" t="s">
        <v>1470</v>
      </c>
      <c r="B317" t="s">
        <v>1606</v>
      </c>
      <c r="C317" t="s">
        <v>1491</v>
      </c>
    </row>
    <row r="318" spans="1:3">
      <c r="A318" t="s">
        <v>1470</v>
      </c>
      <c r="B318" t="s">
        <v>1606</v>
      </c>
      <c r="C318" t="s">
        <v>1492</v>
      </c>
    </row>
    <row r="319" spans="1:3">
      <c r="A319" t="s">
        <v>1470</v>
      </c>
      <c r="B319" t="s">
        <v>1606</v>
      </c>
      <c r="C319" t="s">
        <v>1493</v>
      </c>
    </row>
    <row r="320" spans="1:3">
      <c r="A320" t="s">
        <v>1470</v>
      </c>
      <c r="B320" t="s">
        <v>1606</v>
      </c>
      <c r="C320" t="s">
        <v>1494</v>
      </c>
    </row>
    <row r="321" spans="1:3">
      <c r="A321" t="s">
        <v>1470</v>
      </c>
      <c r="B321" t="s">
        <v>1606</v>
      </c>
      <c r="C321" t="s">
        <v>1495</v>
      </c>
    </row>
    <row r="322" spans="1:3">
      <c r="A322" t="s">
        <v>1470</v>
      </c>
      <c r="B322" t="s">
        <v>1606</v>
      </c>
      <c r="C322" t="s">
        <v>1488</v>
      </c>
    </row>
    <row r="323" spans="1:3">
      <c r="A323" t="s">
        <v>1470</v>
      </c>
      <c r="B323" t="s">
        <v>1606</v>
      </c>
      <c r="C323" t="s">
        <v>1490</v>
      </c>
    </row>
    <row r="324" spans="1:3">
      <c r="A324" t="s">
        <v>1470</v>
      </c>
      <c r="B324" t="s">
        <v>1606</v>
      </c>
      <c r="C324" t="s">
        <v>1481</v>
      </c>
    </row>
    <row r="325" spans="1:3">
      <c r="A325" t="s">
        <v>153</v>
      </c>
      <c r="B325" t="s">
        <v>1607</v>
      </c>
      <c r="C325" t="s">
        <v>841</v>
      </c>
    </row>
    <row r="326" spans="1:3">
      <c r="A326" t="s">
        <v>153</v>
      </c>
      <c r="B326" t="s">
        <v>1607</v>
      </c>
      <c r="C326" t="s">
        <v>845</v>
      </c>
    </row>
    <row r="327" spans="1:3">
      <c r="A327" t="s">
        <v>153</v>
      </c>
      <c r="B327" t="s">
        <v>1607</v>
      </c>
      <c r="C327" t="s">
        <v>847</v>
      </c>
    </row>
    <row r="328" spans="1:3">
      <c r="A328" t="s">
        <v>153</v>
      </c>
      <c r="B328" t="s">
        <v>1607</v>
      </c>
      <c r="C328" t="s">
        <v>849</v>
      </c>
    </row>
    <row r="329" spans="1:3">
      <c r="A329" t="s">
        <v>153</v>
      </c>
      <c r="B329" t="s">
        <v>1607</v>
      </c>
      <c r="C329" t="s">
        <v>851</v>
      </c>
    </row>
    <row r="330" spans="1:3">
      <c r="A330" t="s">
        <v>153</v>
      </c>
      <c r="B330" t="s">
        <v>1607</v>
      </c>
      <c r="C330" t="s">
        <v>853</v>
      </c>
    </row>
    <row r="331" spans="1:3">
      <c r="A331" t="s">
        <v>153</v>
      </c>
      <c r="B331" t="s">
        <v>1607</v>
      </c>
      <c r="C331" t="s">
        <v>857</v>
      </c>
    </row>
    <row r="332" spans="1:3">
      <c r="A332" t="s">
        <v>153</v>
      </c>
      <c r="B332" t="s">
        <v>1607</v>
      </c>
      <c r="C332" t="s">
        <v>859</v>
      </c>
    </row>
    <row r="333" spans="1:3">
      <c r="A333" t="s">
        <v>153</v>
      </c>
      <c r="B333" t="s">
        <v>1607</v>
      </c>
      <c r="C333" t="s">
        <v>861</v>
      </c>
    </row>
    <row r="334" spans="1:3">
      <c r="A334" t="s">
        <v>831</v>
      </c>
      <c r="B334" t="s">
        <v>1606</v>
      </c>
      <c r="C334" t="s">
        <v>830</v>
      </c>
    </row>
    <row r="335" spans="1:3">
      <c r="A335" t="s">
        <v>168</v>
      </c>
      <c r="B335" t="s">
        <v>1607</v>
      </c>
      <c r="C335" t="s">
        <v>1496</v>
      </c>
    </row>
    <row r="336" spans="1:3">
      <c r="A336" t="s">
        <v>226</v>
      </c>
      <c r="B336" t="s">
        <v>1607</v>
      </c>
      <c r="C336" t="s">
        <v>1499</v>
      </c>
    </row>
    <row r="337" spans="1:3">
      <c r="A337" t="s">
        <v>801</v>
      </c>
      <c r="B337" t="s">
        <v>1606</v>
      </c>
      <c r="C337" t="s">
        <v>800</v>
      </c>
    </row>
    <row r="338" spans="1:3">
      <c r="A338" t="s">
        <v>803</v>
      </c>
      <c r="B338" t="s">
        <v>1606</v>
      </c>
      <c r="C338" t="s">
        <v>802</v>
      </c>
    </row>
    <row r="339" spans="1:3">
      <c r="A339" t="s">
        <v>805</v>
      </c>
      <c r="B339" t="s">
        <v>1606</v>
      </c>
      <c r="C339" t="s">
        <v>804</v>
      </c>
    </row>
    <row r="340" spans="1:3">
      <c r="A340" t="s">
        <v>807</v>
      </c>
      <c r="B340" t="s">
        <v>1606</v>
      </c>
      <c r="C340" t="s">
        <v>806</v>
      </c>
    </row>
    <row r="341" spans="1:3">
      <c r="A341" t="s">
        <v>811</v>
      </c>
      <c r="B341" t="s">
        <v>1606</v>
      </c>
      <c r="C341" t="s">
        <v>810</v>
      </c>
    </row>
    <row r="342" spans="1:3">
      <c r="A342" t="s">
        <v>814</v>
      </c>
      <c r="B342" t="s">
        <v>1606</v>
      </c>
      <c r="C342" t="s">
        <v>817</v>
      </c>
    </row>
    <row r="343" spans="1:3">
      <c r="A343" t="s">
        <v>814</v>
      </c>
      <c r="B343" t="s">
        <v>1606</v>
      </c>
      <c r="C343" t="s">
        <v>813</v>
      </c>
    </row>
    <row r="344" spans="1:3">
      <c r="A344" t="s">
        <v>821</v>
      </c>
      <c r="B344" t="s">
        <v>1606</v>
      </c>
      <c r="C344" t="s">
        <v>820</v>
      </c>
    </row>
    <row r="345" spans="1:3">
      <c r="A345" t="s">
        <v>824</v>
      </c>
      <c r="B345" t="s">
        <v>1606</v>
      </c>
      <c r="C345" t="s">
        <v>823</v>
      </c>
    </row>
    <row r="346" spans="1:3">
      <c r="A346" t="s">
        <v>827</v>
      </c>
      <c r="B346" t="s">
        <v>1606</v>
      </c>
      <c r="C346" t="s">
        <v>826</v>
      </c>
    </row>
    <row r="347" spans="1:3">
      <c r="A347" t="s">
        <v>829</v>
      </c>
      <c r="B347" t="s">
        <v>1606</v>
      </c>
      <c r="C347" t="s">
        <v>828</v>
      </c>
    </row>
    <row r="348" spans="1:3">
      <c r="A348" t="s">
        <v>836</v>
      </c>
      <c r="B348" t="s">
        <v>1606</v>
      </c>
      <c r="C348" t="s">
        <v>835</v>
      </c>
    </row>
    <row r="349" spans="1:3">
      <c r="A349" t="s">
        <v>143</v>
      </c>
      <c r="B349" t="s">
        <v>1607</v>
      </c>
      <c r="C349" t="s">
        <v>841</v>
      </c>
    </row>
    <row r="350" spans="1:3">
      <c r="A350" t="s">
        <v>143</v>
      </c>
      <c r="B350" t="s">
        <v>1607</v>
      </c>
      <c r="C350" t="s">
        <v>845</v>
      </c>
    </row>
    <row r="351" spans="1:3">
      <c r="A351" t="s">
        <v>143</v>
      </c>
      <c r="B351" t="s">
        <v>1607</v>
      </c>
      <c r="C351" t="s">
        <v>847</v>
      </c>
    </row>
    <row r="352" spans="1:3">
      <c r="A352" t="s">
        <v>143</v>
      </c>
      <c r="B352" t="s">
        <v>1607</v>
      </c>
      <c r="C352" t="s">
        <v>849</v>
      </c>
    </row>
    <row r="353" spans="1:3">
      <c r="A353" t="s">
        <v>143</v>
      </c>
      <c r="B353" t="s">
        <v>1607</v>
      </c>
      <c r="C353" t="s">
        <v>851</v>
      </c>
    </row>
    <row r="354" spans="1:3">
      <c r="A354" t="s">
        <v>143</v>
      </c>
      <c r="B354" t="s">
        <v>1607</v>
      </c>
      <c r="C354" t="s">
        <v>853</v>
      </c>
    </row>
    <row r="355" spans="1:3">
      <c r="A355" t="s">
        <v>143</v>
      </c>
      <c r="B355" t="s">
        <v>1607</v>
      </c>
      <c r="C355" t="s">
        <v>857</v>
      </c>
    </row>
    <row r="356" spans="1:3">
      <c r="A356" t="s">
        <v>143</v>
      </c>
      <c r="B356" t="s">
        <v>1607</v>
      </c>
      <c r="C356" t="s">
        <v>859</v>
      </c>
    </row>
    <row r="357" spans="1:3">
      <c r="A357" t="s">
        <v>143</v>
      </c>
      <c r="B357" t="s">
        <v>1607</v>
      </c>
      <c r="C357" t="s">
        <v>861</v>
      </c>
    </row>
    <row r="358" spans="1:3">
      <c r="A358" t="s">
        <v>337</v>
      </c>
      <c r="B358" t="s">
        <v>1607</v>
      </c>
      <c r="C358" t="s">
        <v>1537</v>
      </c>
    </row>
    <row r="359" spans="1:3">
      <c r="A359" t="s">
        <v>392</v>
      </c>
      <c r="B359" t="s">
        <v>1607</v>
      </c>
      <c r="C359" t="s">
        <v>1539</v>
      </c>
    </row>
    <row r="360" spans="1:3">
      <c r="A360" t="s">
        <v>433</v>
      </c>
      <c r="B360" t="s">
        <v>1607</v>
      </c>
      <c r="C360" t="s">
        <v>1541</v>
      </c>
    </row>
    <row r="361" spans="1:3">
      <c r="A361" t="s">
        <v>1544</v>
      </c>
      <c r="B361" t="s">
        <v>1607</v>
      </c>
      <c r="C361" t="s">
        <v>1543</v>
      </c>
    </row>
    <row r="362" spans="1:3">
      <c r="A362" t="s">
        <v>1502</v>
      </c>
      <c r="B362" t="s">
        <v>1606</v>
      </c>
      <c r="C362" t="s">
        <v>1501</v>
      </c>
    </row>
    <row r="363" spans="1:3">
      <c r="A363" t="s">
        <v>1502</v>
      </c>
      <c r="B363" t="s">
        <v>1606</v>
      </c>
      <c r="C363" t="s">
        <v>1505</v>
      </c>
    </row>
    <row r="364" spans="1:3">
      <c r="A364" t="s">
        <v>1502</v>
      </c>
      <c r="B364" t="s">
        <v>1606</v>
      </c>
      <c r="C364" t="s">
        <v>1507</v>
      </c>
    </row>
    <row r="365" spans="1:3">
      <c r="A365" t="s">
        <v>1502</v>
      </c>
      <c r="B365" t="s">
        <v>1606</v>
      </c>
      <c r="C365" t="s">
        <v>1509</v>
      </c>
    </row>
    <row r="366" spans="1:3">
      <c r="A366" t="s">
        <v>1502</v>
      </c>
      <c r="B366" t="s">
        <v>1606</v>
      </c>
      <c r="C366" t="s">
        <v>1511</v>
      </c>
    </row>
    <row r="367" spans="1:3">
      <c r="A367" t="s">
        <v>1502</v>
      </c>
      <c r="B367" t="s">
        <v>1606</v>
      </c>
      <c r="C367" t="s">
        <v>1513</v>
      </c>
    </row>
    <row r="368" spans="1:3">
      <c r="A368" t="s">
        <v>1502</v>
      </c>
      <c r="B368" t="s">
        <v>1606</v>
      </c>
      <c r="C368" t="s">
        <v>1515</v>
      </c>
    </row>
    <row r="369" spans="1:3">
      <c r="A369" t="s">
        <v>1502</v>
      </c>
      <c r="B369" t="s">
        <v>1606</v>
      </c>
      <c r="C369" t="s">
        <v>1517</v>
      </c>
    </row>
    <row r="370" spans="1:3">
      <c r="A370" t="s">
        <v>1502</v>
      </c>
      <c r="B370" t="s">
        <v>1606</v>
      </c>
      <c r="C370" t="s">
        <v>1519</v>
      </c>
    </row>
    <row r="371" spans="1:3">
      <c r="A371" t="s">
        <v>1502</v>
      </c>
      <c r="B371" t="s">
        <v>1606</v>
      </c>
      <c r="C371" t="s">
        <v>1521</v>
      </c>
    </row>
    <row r="372" spans="1:3">
      <c r="A372" t="s">
        <v>1502</v>
      </c>
      <c r="B372" t="s">
        <v>1606</v>
      </c>
      <c r="C372" t="s">
        <v>1523</v>
      </c>
    </row>
    <row r="373" spans="1:3">
      <c r="A373" t="s">
        <v>1502</v>
      </c>
      <c r="B373" t="s">
        <v>1606</v>
      </c>
      <c r="C373" t="s">
        <v>1525</v>
      </c>
    </row>
    <row r="374" spans="1:3">
      <c r="A374" t="s">
        <v>1502</v>
      </c>
      <c r="B374" t="s">
        <v>1606</v>
      </c>
      <c r="C374" t="s">
        <v>1527</v>
      </c>
    </row>
    <row r="375" spans="1:3">
      <c r="A375" t="s">
        <v>1502</v>
      </c>
      <c r="B375" t="s">
        <v>1606</v>
      </c>
      <c r="C375" t="s">
        <v>1529</v>
      </c>
    </row>
    <row r="376" spans="1:3">
      <c r="A376" t="s">
        <v>1502</v>
      </c>
      <c r="B376" t="s">
        <v>1606</v>
      </c>
      <c r="C376" t="s">
        <v>1531</v>
      </c>
    </row>
    <row r="377" spans="1:3">
      <c r="A377" t="s">
        <v>1502</v>
      </c>
      <c r="B377" t="s">
        <v>1606</v>
      </c>
      <c r="C377" t="s">
        <v>1533</v>
      </c>
    </row>
    <row r="378" spans="1:3">
      <c r="A378" t="s">
        <v>1502</v>
      </c>
      <c r="B378" t="s">
        <v>1606</v>
      </c>
      <c r="C378" t="s">
        <v>1535</v>
      </c>
    </row>
    <row r="379" spans="1:3">
      <c r="A379" t="s">
        <v>434</v>
      </c>
      <c r="B379" t="s">
        <v>1607</v>
      </c>
      <c r="C379" t="s">
        <v>1545</v>
      </c>
    </row>
    <row r="380" spans="1:3">
      <c r="A380" t="s">
        <v>797</v>
      </c>
      <c r="B380" t="s">
        <v>1606</v>
      </c>
      <c r="C380" t="s">
        <v>795</v>
      </c>
    </row>
    <row r="381" spans="1:3">
      <c r="A381" t="s">
        <v>838</v>
      </c>
      <c r="B381" t="s">
        <v>1606</v>
      </c>
      <c r="C381" t="s">
        <v>837</v>
      </c>
    </row>
    <row r="382" spans="1:3">
      <c r="A382" t="s">
        <v>340</v>
      </c>
      <c r="B382" t="s">
        <v>1607</v>
      </c>
      <c r="C382" t="s">
        <v>1547</v>
      </c>
    </row>
    <row r="383" spans="1:3">
      <c r="A383" t="s">
        <v>159</v>
      </c>
      <c r="B383" t="s">
        <v>1607</v>
      </c>
      <c r="C383" t="s">
        <v>841</v>
      </c>
    </row>
    <row r="384" spans="1:3">
      <c r="A384" t="s">
        <v>159</v>
      </c>
      <c r="B384" t="s">
        <v>1607</v>
      </c>
      <c r="C384" t="s">
        <v>845</v>
      </c>
    </row>
    <row r="385" spans="1:3">
      <c r="A385" t="s">
        <v>159</v>
      </c>
      <c r="B385" t="s">
        <v>1607</v>
      </c>
      <c r="C385" t="s">
        <v>847</v>
      </c>
    </row>
    <row r="386" spans="1:3">
      <c r="A386" t="s">
        <v>159</v>
      </c>
      <c r="B386" t="s">
        <v>1607</v>
      </c>
      <c r="C386" t="s">
        <v>849</v>
      </c>
    </row>
    <row r="387" spans="1:3">
      <c r="A387" t="s">
        <v>159</v>
      </c>
      <c r="B387" t="s">
        <v>1607</v>
      </c>
      <c r="C387" t="s">
        <v>851</v>
      </c>
    </row>
    <row r="388" spans="1:3">
      <c r="A388" t="s">
        <v>159</v>
      </c>
      <c r="B388" t="s">
        <v>1607</v>
      </c>
      <c r="C388" t="s">
        <v>853</v>
      </c>
    </row>
    <row r="389" spans="1:3">
      <c r="A389" t="s">
        <v>159</v>
      </c>
      <c r="B389" t="s">
        <v>1607</v>
      </c>
      <c r="C389" t="s">
        <v>857</v>
      </c>
    </row>
    <row r="390" spans="1:3">
      <c r="A390" t="s">
        <v>159</v>
      </c>
      <c r="B390" t="s">
        <v>1607</v>
      </c>
      <c r="C390" t="s">
        <v>859</v>
      </c>
    </row>
    <row r="391" spans="1:3">
      <c r="A391" t="s">
        <v>159</v>
      </c>
      <c r="B391" t="s">
        <v>1607</v>
      </c>
      <c r="C391" t="s">
        <v>861</v>
      </c>
    </row>
  </sheetData>
  <autoFilter ref="A1:C391" xr:uid="{0FF81B2C-C00C-4980-8C16-A8C34664CBE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11912-9B17-4286-BC74-B5D2F77A6457}">
  <dimension ref="A1:D212"/>
  <sheetViews>
    <sheetView workbookViewId="0">
      <selection activeCell="A10" sqref="A10"/>
    </sheetView>
  </sheetViews>
  <sheetFormatPr defaultColWidth="8.7109375" defaultRowHeight="14.45"/>
  <cols>
    <col min="1" max="1" width="45.28515625" style="15" customWidth="1"/>
    <col min="2" max="2" width="31" style="15" customWidth="1"/>
    <col min="3" max="3" width="59.5703125" style="15" customWidth="1"/>
    <col min="4" max="4" width="25.28515625" style="15" customWidth="1"/>
    <col min="5" max="16384" width="8.7109375" style="15"/>
  </cols>
  <sheetData>
    <row r="1" spans="1:4">
      <c r="A1" s="1" t="s">
        <v>1608</v>
      </c>
      <c r="B1" s="1" t="s">
        <v>1609</v>
      </c>
      <c r="C1" s="1" t="s">
        <v>1610</v>
      </c>
      <c r="D1" s="1" t="s">
        <v>1611</v>
      </c>
    </row>
    <row r="2" spans="1:4">
      <c r="A2" s="16" t="s">
        <v>1612</v>
      </c>
      <c r="B2" s="16" t="s">
        <v>1613</v>
      </c>
      <c r="C2" s="16" t="s">
        <v>1614</v>
      </c>
      <c r="D2" s="16" t="s">
        <v>1615</v>
      </c>
    </row>
    <row r="3" spans="1:4">
      <c r="A3" s="16" t="s">
        <v>1612</v>
      </c>
      <c r="B3" s="16" t="s">
        <v>1616</v>
      </c>
      <c r="C3" s="16" t="s">
        <v>1617</v>
      </c>
      <c r="D3" s="16" t="s">
        <v>1615</v>
      </c>
    </row>
    <row r="4" spans="1:4">
      <c r="A4" s="16" t="s">
        <v>1612</v>
      </c>
      <c r="B4" s="16" t="s">
        <v>1618</v>
      </c>
      <c r="C4" s="16" t="s">
        <v>1619</v>
      </c>
      <c r="D4" s="16" t="s">
        <v>1620</v>
      </c>
    </row>
    <row r="5" spans="1:4">
      <c r="A5" s="16" t="s">
        <v>1612</v>
      </c>
      <c r="B5" s="16" t="s">
        <v>1621</v>
      </c>
      <c r="C5" s="16" t="s">
        <v>1622</v>
      </c>
      <c r="D5" s="16" t="s">
        <v>1620</v>
      </c>
    </row>
    <row r="6" spans="1:4">
      <c r="A6" s="16" t="s">
        <v>1612</v>
      </c>
      <c r="B6" s="16" t="s">
        <v>1623</v>
      </c>
      <c r="C6" s="16" t="s">
        <v>1624</v>
      </c>
      <c r="D6" s="16" t="s">
        <v>1620</v>
      </c>
    </row>
    <row r="7" spans="1:4">
      <c r="A7" s="16" t="s">
        <v>1612</v>
      </c>
      <c r="B7" s="16" t="s">
        <v>1625</v>
      </c>
      <c r="C7" s="16" t="s">
        <v>1626</v>
      </c>
      <c r="D7" s="16" t="s">
        <v>1620</v>
      </c>
    </row>
    <row r="8" spans="1:4">
      <c r="A8" s="16" t="s">
        <v>1612</v>
      </c>
      <c r="B8" s="16" t="s">
        <v>1627</v>
      </c>
      <c r="C8" s="16" t="s">
        <v>1628</v>
      </c>
      <c r="D8" s="16" t="s">
        <v>1620</v>
      </c>
    </row>
    <row r="9" spans="1:4">
      <c r="A9" s="16" t="s">
        <v>1612</v>
      </c>
      <c r="B9" s="16" t="s">
        <v>1629</v>
      </c>
      <c r="C9" s="16" t="s">
        <v>1630</v>
      </c>
      <c r="D9" s="16" t="s">
        <v>1615</v>
      </c>
    </row>
    <row r="10" spans="1:4">
      <c r="A10" s="16" t="s">
        <v>1612</v>
      </c>
      <c r="B10" s="16" t="s">
        <v>1631</v>
      </c>
      <c r="C10" s="16" t="s">
        <v>1632</v>
      </c>
      <c r="D10" s="16" t="s">
        <v>1620</v>
      </c>
    </row>
    <row r="11" spans="1:4">
      <c r="A11" s="16" t="s">
        <v>1612</v>
      </c>
      <c r="B11" s="16" t="s">
        <v>1633</v>
      </c>
      <c r="C11" s="16" t="s">
        <v>1634</v>
      </c>
      <c r="D11" s="16" t="s">
        <v>1620</v>
      </c>
    </row>
    <row r="12" spans="1:4">
      <c r="A12" s="16" t="s">
        <v>1612</v>
      </c>
      <c r="B12" s="16" t="s">
        <v>1635</v>
      </c>
      <c r="C12" s="16" t="s">
        <v>1636</v>
      </c>
      <c r="D12" s="16" t="s">
        <v>1620</v>
      </c>
    </row>
    <row r="13" spans="1:4">
      <c r="A13" s="16" t="s">
        <v>1612</v>
      </c>
      <c r="B13" s="16" t="s">
        <v>1637</v>
      </c>
      <c r="C13" s="16" t="s">
        <v>1638</v>
      </c>
      <c r="D13" s="16" t="s">
        <v>1620</v>
      </c>
    </row>
    <row r="14" spans="1:4">
      <c r="A14" s="16" t="s">
        <v>1612</v>
      </c>
      <c r="B14" s="16" t="s">
        <v>1639</v>
      </c>
      <c r="C14" s="16" t="s">
        <v>1640</v>
      </c>
      <c r="D14" s="16" t="s">
        <v>1620</v>
      </c>
    </row>
    <row r="15" spans="1:4">
      <c r="A15" s="16" t="s">
        <v>1612</v>
      </c>
      <c r="B15" s="16" t="s">
        <v>1641</v>
      </c>
      <c r="C15" s="16" t="s">
        <v>1642</v>
      </c>
      <c r="D15" s="16" t="s">
        <v>1620</v>
      </c>
    </row>
    <row r="16" spans="1:4">
      <c r="A16" s="16" t="s">
        <v>1612</v>
      </c>
      <c r="B16" s="16" t="s">
        <v>1643</v>
      </c>
      <c r="C16" s="16" t="s">
        <v>1644</v>
      </c>
      <c r="D16" s="16" t="s">
        <v>1620</v>
      </c>
    </row>
    <row r="17" spans="1:4">
      <c r="A17" s="16" t="s">
        <v>1612</v>
      </c>
      <c r="B17" s="16" t="s">
        <v>1645</v>
      </c>
      <c r="C17" s="16" t="s">
        <v>1646</v>
      </c>
      <c r="D17" s="16" t="s">
        <v>1620</v>
      </c>
    </row>
    <row r="18" spans="1:4">
      <c r="A18" s="16" t="s">
        <v>1612</v>
      </c>
      <c r="B18" s="16" t="s">
        <v>1647</v>
      </c>
      <c r="C18" s="16" t="s">
        <v>1648</v>
      </c>
      <c r="D18" s="16" t="s">
        <v>1620</v>
      </c>
    </row>
    <row r="19" spans="1:4">
      <c r="A19" s="16" t="s">
        <v>1612</v>
      </c>
      <c r="B19" s="16" t="s">
        <v>1649</v>
      </c>
      <c r="C19" s="16" t="s">
        <v>1650</v>
      </c>
      <c r="D19" s="16" t="s">
        <v>1620</v>
      </c>
    </row>
    <row r="20" spans="1:4">
      <c r="A20" s="16" t="s">
        <v>1612</v>
      </c>
      <c r="B20" s="16" t="s">
        <v>1651</v>
      </c>
      <c r="C20" s="16" t="s">
        <v>1652</v>
      </c>
      <c r="D20" s="16" t="s">
        <v>1620</v>
      </c>
    </row>
    <row r="21" spans="1:4">
      <c r="A21" s="16" t="s">
        <v>1612</v>
      </c>
      <c r="B21" s="16" t="s">
        <v>1653</v>
      </c>
      <c r="C21" s="16" t="s">
        <v>1654</v>
      </c>
      <c r="D21" s="16" t="s">
        <v>1620</v>
      </c>
    </row>
    <row r="22" spans="1:4">
      <c r="A22" s="16" t="s">
        <v>1612</v>
      </c>
      <c r="B22" s="16" t="s">
        <v>1655</v>
      </c>
      <c r="C22" s="16" t="s">
        <v>1656</v>
      </c>
      <c r="D22" s="16" t="s">
        <v>1620</v>
      </c>
    </row>
    <row r="23" spans="1:4">
      <c r="A23" s="16" t="s">
        <v>1612</v>
      </c>
      <c r="B23" s="16" t="s">
        <v>1657</v>
      </c>
      <c r="C23" s="16" t="s">
        <v>1658</v>
      </c>
      <c r="D23" s="16" t="s">
        <v>1620</v>
      </c>
    </row>
    <row r="24" spans="1:4">
      <c r="A24" s="16" t="s">
        <v>1612</v>
      </c>
      <c r="B24" s="16" t="s">
        <v>1659</v>
      </c>
      <c r="C24" s="16" t="s">
        <v>1660</v>
      </c>
      <c r="D24" s="16" t="s">
        <v>1620</v>
      </c>
    </row>
    <row r="25" spans="1:4">
      <c r="A25" s="16" t="s">
        <v>1612</v>
      </c>
      <c r="B25" s="16" t="s">
        <v>1661</v>
      </c>
      <c r="C25" s="16" t="s">
        <v>1662</v>
      </c>
      <c r="D25" s="16" t="s">
        <v>1620</v>
      </c>
    </row>
    <row r="26" spans="1:4">
      <c r="A26" s="16" t="s">
        <v>1612</v>
      </c>
      <c r="B26" s="16" t="s">
        <v>1663</v>
      </c>
      <c r="C26" s="16" t="s">
        <v>1664</v>
      </c>
      <c r="D26" s="16" t="s">
        <v>1620</v>
      </c>
    </row>
    <row r="27" spans="1:4">
      <c r="A27" s="16" t="s">
        <v>1612</v>
      </c>
      <c r="B27" s="16" t="s">
        <v>1665</v>
      </c>
      <c r="C27" s="16" t="s">
        <v>1666</v>
      </c>
      <c r="D27" s="16" t="s">
        <v>1620</v>
      </c>
    </row>
    <row r="28" spans="1:4">
      <c r="A28" s="16" t="s">
        <v>1612</v>
      </c>
      <c r="B28" s="16" t="s">
        <v>1667</v>
      </c>
      <c r="C28" s="16" t="s">
        <v>1668</v>
      </c>
      <c r="D28" s="16" t="s">
        <v>1620</v>
      </c>
    </row>
    <row r="29" spans="1:4">
      <c r="A29" s="16" t="s">
        <v>1612</v>
      </c>
      <c r="B29" s="16" t="s">
        <v>1669</v>
      </c>
      <c r="C29" s="16" t="s">
        <v>1670</v>
      </c>
      <c r="D29" s="16" t="s">
        <v>1620</v>
      </c>
    </row>
    <row r="30" spans="1:4">
      <c r="A30" s="16" t="s">
        <v>1612</v>
      </c>
      <c r="B30" s="16" t="s">
        <v>1671</v>
      </c>
      <c r="C30" s="16" t="s">
        <v>1672</v>
      </c>
      <c r="D30" s="16" t="s">
        <v>1620</v>
      </c>
    </row>
    <row r="31" spans="1:4">
      <c r="A31" s="16" t="s">
        <v>1612</v>
      </c>
      <c r="B31" s="16" t="s">
        <v>1673</v>
      </c>
      <c r="C31" s="16" t="s">
        <v>1674</v>
      </c>
      <c r="D31" s="16" t="s">
        <v>1620</v>
      </c>
    </row>
    <row r="32" spans="1:4">
      <c r="A32" s="16" t="s">
        <v>1612</v>
      </c>
      <c r="B32" s="16" t="s">
        <v>1675</v>
      </c>
      <c r="C32" s="16" t="s">
        <v>1676</v>
      </c>
      <c r="D32" s="16" t="s">
        <v>1620</v>
      </c>
    </row>
    <row r="33" spans="1:4">
      <c r="A33" s="16" t="s">
        <v>1612</v>
      </c>
      <c r="B33" s="16" t="s">
        <v>1677</v>
      </c>
      <c r="C33" s="16" t="s">
        <v>1678</v>
      </c>
      <c r="D33" s="16" t="s">
        <v>1620</v>
      </c>
    </row>
    <row r="34" spans="1:4">
      <c r="A34" s="16" t="s">
        <v>1612</v>
      </c>
      <c r="B34" s="16" t="s">
        <v>1679</v>
      </c>
      <c r="C34" s="16" t="s">
        <v>1680</v>
      </c>
      <c r="D34" s="16" t="s">
        <v>1620</v>
      </c>
    </row>
    <row r="35" spans="1:4">
      <c r="A35" s="16" t="s">
        <v>1612</v>
      </c>
      <c r="B35" s="16" t="s">
        <v>1681</v>
      </c>
      <c r="C35" s="16" t="s">
        <v>1682</v>
      </c>
      <c r="D35" s="16" t="s">
        <v>1620</v>
      </c>
    </row>
    <row r="36" spans="1:4">
      <c r="A36" s="16" t="s">
        <v>1612</v>
      </c>
      <c r="B36" s="16" t="s">
        <v>1683</v>
      </c>
      <c r="C36" s="16" t="s">
        <v>1684</v>
      </c>
      <c r="D36" s="16" t="s">
        <v>1620</v>
      </c>
    </row>
    <row r="37" spans="1:4">
      <c r="A37" s="16" t="s">
        <v>1612</v>
      </c>
      <c r="B37" s="16" t="s">
        <v>1685</v>
      </c>
      <c r="C37" s="16" t="s">
        <v>1686</v>
      </c>
      <c r="D37" s="16" t="s">
        <v>1620</v>
      </c>
    </row>
    <row r="38" spans="1:4">
      <c r="A38" s="16" t="s">
        <v>1612</v>
      </c>
      <c r="B38" s="16" t="s">
        <v>1687</v>
      </c>
      <c r="C38" s="16" t="s">
        <v>1688</v>
      </c>
      <c r="D38" s="16" t="s">
        <v>1620</v>
      </c>
    </row>
    <row r="39" spans="1:4">
      <c r="A39" s="16" t="s">
        <v>1612</v>
      </c>
      <c r="B39" s="16" t="s">
        <v>1689</v>
      </c>
      <c r="C39" s="16" t="s">
        <v>1690</v>
      </c>
      <c r="D39" s="16" t="s">
        <v>1615</v>
      </c>
    </row>
    <row r="40" spans="1:4">
      <c r="A40" s="16" t="s">
        <v>1612</v>
      </c>
      <c r="B40" s="16" t="s">
        <v>1691</v>
      </c>
      <c r="C40" s="16" t="s">
        <v>1692</v>
      </c>
      <c r="D40" s="16" t="s">
        <v>1620</v>
      </c>
    </row>
    <row r="41" spans="1:4">
      <c r="A41" s="16" t="s">
        <v>1612</v>
      </c>
      <c r="B41" s="16" t="s">
        <v>1693</v>
      </c>
      <c r="C41" s="16" t="s">
        <v>1694</v>
      </c>
      <c r="D41" s="16" t="s">
        <v>1615</v>
      </c>
    </row>
    <row r="42" spans="1:4">
      <c r="A42" s="16" t="s">
        <v>1612</v>
      </c>
      <c r="B42" s="16" t="s">
        <v>1695</v>
      </c>
      <c r="C42" s="16" t="s">
        <v>1696</v>
      </c>
      <c r="D42" s="16" t="s">
        <v>1620</v>
      </c>
    </row>
    <row r="43" spans="1:4">
      <c r="A43" s="16" t="s">
        <v>1612</v>
      </c>
      <c r="B43" s="16" t="s">
        <v>1697</v>
      </c>
      <c r="C43" s="16" t="s">
        <v>1698</v>
      </c>
      <c r="D43" s="16" t="s">
        <v>1620</v>
      </c>
    </row>
    <row r="44" spans="1:4">
      <c r="A44" s="16" t="s">
        <v>1612</v>
      </c>
      <c r="B44" s="16" t="s">
        <v>1699</v>
      </c>
      <c r="C44" s="16" t="s">
        <v>1700</v>
      </c>
      <c r="D44" s="16" t="s">
        <v>1615</v>
      </c>
    </row>
    <row r="45" spans="1:4">
      <c r="A45" s="16" t="s">
        <v>1612</v>
      </c>
      <c r="B45" s="16" t="s">
        <v>1699</v>
      </c>
      <c r="C45" s="16" t="s">
        <v>1701</v>
      </c>
      <c r="D45" s="16" t="s">
        <v>1615</v>
      </c>
    </row>
    <row r="46" spans="1:4">
      <c r="A46" s="16" t="s">
        <v>1612</v>
      </c>
      <c r="B46" s="16" t="s">
        <v>1699</v>
      </c>
      <c r="C46" s="16" t="s">
        <v>1702</v>
      </c>
      <c r="D46" s="16" t="s">
        <v>1620</v>
      </c>
    </row>
    <row r="47" spans="1:4">
      <c r="A47" s="16" t="s">
        <v>1612</v>
      </c>
      <c r="B47" s="16" t="s">
        <v>1703</v>
      </c>
      <c r="C47" s="16" t="s">
        <v>1704</v>
      </c>
      <c r="D47" s="16" t="s">
        <v>1620</v>
      </c>
    </row>
    <row r="48" spans="1:4">
      <c r="A48" s="16" t="s">
        <v>1612</v>
      </c>
      <c r="B48" s="16" t="s">
        <v>1705</v>
      </c>
      <c r="C48" s="16" t="s">
        <v>1706</v>
      </c>
      <c r="D48" s="16" t="s">
        <v>1615</v>
      </c>
    </row>
    <row r="49" spans="1:4">
      <c r="A49" s="16" t="s">
        <v>1612</v>
      </c>
      <c r="B49" s="16" t="s">
        <v>1707</v>
      </c>
      <c r="C49" s="16" t="s">
        <v>1708</v>
      </c>
      <c r="D49" s="16" t="s">
        <v>1620</v>
      </c>
    </row>
    <row r="50" spans="1:4">
      <c r="A50" s="16" t="s">
        <v>1612</v>
      </c>
      <c r="B50" s="16" t="s">
        <v>1707</v>
      </c>
      <c r="C50" s="16" t="s">
        <v>1709</v>
      </c>
      <c r="D50" s="16" t="s">
        <v>1615</v>
      </c>
    </row>
    <row r="51" spans="1:4">
      <c r="A51" s="16" t="s">
        <v>1612</v>
      </c>
      <c r="B51" s="16" t="s">
        <v>1710</v>
      </c>
      <c r="C51" s="16" t="s">
        <v>1711</v>
      </c>
      <c r="D51" s="16" t="s">
        <v>1620</v>
      </c>
    </row>
    <row r="52" spans="1:4">
      <c r="A52" s="16" t="s">
        <v>1612</v>
      </c>
      <c r="B52" s="16" t="s">
        <v>1712</v>
      </c>
      <c r="C52" s="16" t="s">
        <v>1713</v>
      </c>
      <c r="D52" s="16" t="s">
        <v>1620</v>
      </c>
    </row>
    <row r="53" spans="1:4">
      <c r="A53" s="16" t="s">
        <v>1612</v>
      </c>
      <c r="B53" s="16" t="s">
        <v>1714</v>
      </c>
      <c r="C53" s="16" t="s">
        <v>1715</v>
      </c>
      <c r="D53" s="16" t="s">
        <v>1620</v>
      </c>
    </row>
    <row r="54" spans="1:4">
      <c r="A54" s="16" t="s">
        <v>1612</v>
      </c>
      <c r="B54" s="16" t="s">
        <v>1716</v>
      </c>
      <c r="C54" s="16" t="s">
        <v>1717</v>
      </c>
      <c r="D54" s="16" t="s">
        <v>1615</v>
      </c>
    </row>
    <row r="55" spans="1:4">
      <c r="A55" s="16" t="s">
        <v>1612</v>
      </c>
      <c r="B55" s="16" t="s">
        <v>1718</v>
      </c>
      <c r="C55" s="16" t="s">
        <v>1719</v>
      </c>
      <c r="D55" s="16" t="s">
        <v>1620</v>
      </c>
    </row>
    <row r="56" spans="1:4">
      <c r="A56" s="16" t="s">
        <v>1612</v>
      </c>
      <c r="B56" s="16" t="s">
        <v>1720</v>
      </c>
      <c r="C56" s="16" t="s">
        <v>1721</v>
      </c>
      <c r="D56" s="16" t="s">
        <v>1620</v>
      </c>
    </row>
    <row r="57" spans="1:4">
      <c r="A57" s="16" t="s">
        <v>1612</v>
      </c>
      <c r="B57" s="16" t="s">
        <v>1722</v>
      </c>
      <c r="C57" s="16" t="s">
        <v>1723</v>
      </c>
      <c r="D57" s="16" t="s">
        <v>1620</v>
      </c>
    </row>
    <row r="58" spans="1:4">
      <c r="A58" s="16" t="s">
        <v>1612</v>
      </c>
      <c r="B58" s="16" t="s">
        <v>1724</v>
      </c>
      <c r="C58" s="16" t="s">
        <v>1725</v>
      </c>
      <c r="D58" s="16" t="s">
        <v>1615</v>
      </c>
    </row>
    <row r="59" spans="1:4">
      <c r="A59" s="16" t="s">
        <v>1612</v>
      </c>
      <c r="B59" s="16" t="s">
        <v>1724</v>
      </c>
      <c r="C59" s="16" t="s">
        <v>1726</v>
      </c>
      <c r="D59" s="16" t="s">
        <v>1615</v>
      </c>
    </row>
    <row r="60" spans="1:4">
      <c r="A60" s="16" t="s">
        <v>1612</v>
      </c>
      <c r="B60" s="16" t="s">
        <v>1727</v>
      </c>
      <c r="C60" s="16" t="s">
        <v>1728</v>
      </c>
      <c r="D60" s="16" t="s">
        <v>1615</v>
      </c>
    </row>
    <row r="61" spans="1:4">
      <c r="A61" s="16" t="s">
        <v>1612</v>
      </c>
      <c r="B61" s="16" t="s">
        <v>1729</v>
      </c>
      <c r="C61" s="16" t="s">
        <v>1730</v>
      </c>
      <c r="D61" s="16" t="s">
        <v>1615</v>
      </c>
    </row>
    <row r="62" spans="1:4">
      <c r="A62" s="16" t="s">
        <v>1612</v>
      </c>
      <c r="B62" s="16" t="s">
        <v>1731</v>
      </c>
      <c r="C62" s="16" t="s">
        <v>1732</v>
      </c>
      <c r="D62" s="16" t="s">
        <v>1620</v>
      </c>
    </row>
    <row r="63" spans="1:4">
      <c r="A63" s="16" t="s">
        <v>1612</v>
      </c>
      <c r="B63" s="16" t="s">
        <v>1733</v>
      </c>
      <c r="C63" s="16" t="s">
        <v>1734</v>
      </c>
      <c r="D63" s="16" t="s">
        <v>1615</v>
      </c>
    </row>
    <row r="64" spans="1:4">
      <c r="A64" s="16" t="s">
        <v>1612</v>
      </c>
      <c r="B64" s="16" t="s">
        <v>1733</v>
      </c>
      <c r="C64" s="16" t="s">
        <v>1735</v>
      </c>
      <c r="D64" s="16" t="s">
        <v>1620</v>
      </c>
    </row>
    <row r="65" spans="1:4">
      <c r="A65" s="16" t="s">
        <v>1612</v>
      </c>
      <c r="B65" s="16" t="s">
        <v>1736</v>
      </c>
      <c r="C65" s="16" t="s">
        <v>1737</v>
      </c>
      <c r="D65" s="16" t="s">
        <v>1620</v>
      </c>
    </row>
    <row r="66" spans="1:4">
      <c r="A66" s="16" t="s">
        <v>1612</v>
      </c>
      <c r="B66" s="16" t="s">
        <v>1738</v>
      </c>
      <c r="C66" s="16" t="s">
        <v>1739</v>
      </c>
      <c r="D66" s="16" t="s">
        <v>1620</v>
      </c>
    </row>
    <row r="67" spans="1:4">
      <c r="A67" s="16" t="s">
        <v>1612</v>
      </c>
      <c r="B67" s="16" t="s">
        <v>1740</v>
      </c>
      <c r="C67" s="16" t="s">
        <v>1741</v>
      </c>
      <c r="D67" s="16" t="s">
        <v>1620</v>
      </c>
    </row>
    <row r="68" spans="1:4">
      <c r="A68" s="16" t="s">
        <v>1612</v>
      </c>
      <c r="B68" s="16" t="s">
        <v>1742</v>
      </c>
      <c r="C68" s="16" t="s">
        <v>1743</v>
      </c>
      <c r="D68" s="16" t="s">
        <v>1620</v>
      </c>
    </row>
    <row r="69" spans="1:4">
      <c r="A69" s="16" t="s">
        <v>1612</v>
      </c>
      <c r="B69" s="16" t="s">
        <v>1742</v>
      </c>
      <c r="C69" s="16" t="s">
        <v>1744</v>
      </c>
      <c r="D69" s="16" t="s">
        <v>1615</v>
      </c>
    </row>
    <row r="70" spans="1:4">
      <c r="A70" s="16" t="s">
        <v>1612</v>
      </c>
      <c r="B70" s="16" t="s">
        <v>1745</v>
      </c>
      <c r="C70" s="16" t="s">
        <v>1746</v>
      </c>
      <c r="D70" s="16" t="s">
        <v>1620</v>
      </c>
    </row>
    <row r="71" spans="1:4">
      <c r="A71" s="16" t="s">
        <v>1612</v>
      </c>
      <c r="B71" s="16" t="s">
        <v>1747</v>
      </c>
      <c r="C71" s="16" t="s">
        <v>1748</v>
      </c>
      <c r="D71" s="16" t="s">
        <v>1615</v>
      </c>
    </row>
    <row r="72" spans="1:4">
      <c r="A72" s="16" t="s">
        <v>1612</v>
      </c>
      <c r="B72" s="16" t="s">
        <v>1749</v>
      </c>
      <c r="C72" s="16" t="s">
        <v>1750</v>
      </c>
      <c r="D72" s="16" t="s">
        <v>1615</v>
      </c>
    </row>
    <row r="73" spans="1:4">
      <c r="A73" s="16" t="s">
        <v>1612</v>
      </c>
      <c r="B73" s="16" t="s">
        <v>1749</v>
      </c>
      <c r="C73" s="16" t="s">
        <v>1751</v>
      </c>
      <c r="D73" s="16" t="s">
        <v>1615</v>
      </c>
    </row>
    <row r="74" spans="1:4">
      <c r="A74" s="16" t="s">
        <v>1612</v>
      </c>
      <c r="B74" s="16" t="s">
        <v>1752</v>
      </c>
      <c r="C74" s="16" t="s">
        <v>1753</v>
      </c>
      <c r="D74" s="16" t="s">
        <v>1615</v>
      </c>
    </row>
    <row r="75" spans="1:4">
      <c r="A75" s="16" t="s">
        <v>1612</v>
      </c>
      <c r="B75" s="16" t="s">
        <v>1754</v>
      </c>
      <c r="C75" s="16" t="s">
        <v>1755</v>
      </c>
      <c r="D75" s="16" t="s">
        <v>1620</v>
      </c>
    </row>
    <row r="76" spans="1:4">
      <c r="A76" s="16" t="s">
        <v>1612</v>
      </c>
      <c r="B76" s="16" t="s">
        <v>1756</v>
      </c>
      <c r="C76" s="16" t="s">
        <v>1757</v>
      </c>
      <c r="D76" s="16" t="s">
        <v>1615</v>
      </c>
    </row>
    <row r="77" spans="1:4">
      <c r="A77" s="16" t="s">
        <v>1612</v>
      </c>
      <c r="B77" s="16" t="s">
        <v>1758</v>
      </c>
      <c r="C77" s="16" t="s">
        <v>1759</v>
      </c>
      <c r="D77" s="16" t="s">
        <v>1615</v>
      </c>
    </row>
    <row r="78" spans="1:4">
      <c r="A78" s="16" t="s">
        <v>1612</v>
      </c>
      <c r="B78" s="16" t="s">
        <v>1760</v>
      </c>
      <c r="C78" s="16" t="s">
        <v>1761</v>
      </c>
      <c r="D78" s="16" t="s">
        <v>1620</v>
      </c>
    </row>
    <row r="79" spans="1:4">
      <c r="A79" s="16" t="s">
        <v>1612</v>
      </c>
      <c r="B79" s="16" t="s">
        <v>1760</v>
      </c>
      <c r="C79" s="16" t="s">
        <v>1762</v>
      </c>
      <c r="D79" s="16" t="s">
        <v>1615</v>
      </c>
    </row>
    <row r="80" spans="1:4">
      <c r="A80" s="16" t="s">
        <v>1612</v>
      </c>
      <c r="B80" s="16" t="s">
        <v>1763</v>
      </c>
      <c r="C80" s="16" t="s">
        <v>1764</v>
      </c>
      <c r="D80" s="16" t="s">
        <v>1615</v>
      </c>
    </row>
    <row r="81" spans="1:4">
      <c r="A81" s="16" t="s">
        <v>1612</v>
      </c>
      <c r="B81" s="16" t="s">
        <v>1765</v>
      </c>
      <c r="C81" s="16" t="s">
        <v>1766</v>
      </c>
      <c r="D81" s="16" t="s">
        <v>1615</v>
      </c>
    </row>
    <row r="82" spans="1:4">
      <c r="A82" s="16" t="s">
        <v>1612</v>
      </c>
      <c r="B82" s="16" t="s">
        <v>1767</v>
      </c>
      <c r="C82" s="16" t="s">
        <v>1768</v>
      </c>
      <c r="D82" s="16" t="s">
        <v>1620</v>
      </c>
    </row>
    <row r="83" spans="1:4">
      <c r="A83" s="16" t="s">
        <v>1612</v>
      </c>
      <c r="B83" s="16" t="s">
        <v>1769</v>
      </c>
      <c r="C83" s="16" t="s">
        <v>1770</v>
      </c>
      <c r="D83" s="16" t="s">
        <v>1615</v>
      </c>
    </row>
    <row r="84" spans="1:4">
      <c r="A84" s="16" t="s">
        <v>1612</v>
      </c>
      <c r="B84" s="16" t="s">
        <v>1771</v>
      </c>
      <c r="C84" s="16" t="s">
        <v>1772</v>
      </c>
      <c r="D84" s="16" t="s">
        <v>1620</v>
      </c>
    </row>
    <row r="85" spans="1:4">
      <c r="A85" s="16" t="s">
        <v>1612</v>
      </c>
      <c r="B85" s="16" t="s">
        <v>1773</v>
      </c>
      <c r="C85" s="16" t="s">
        <v>1774</v>
      </c>
      <c r="D85" s="16" t="s">
        <v>1620</v>
      </c>
    </row>
    <row r="86" spans="1:4">
      <c r="A86" s="16" t="s">
        <v>1612</v>
      </c>
      <c r="B86" s="16" t="s">
        <v>1775</v>
      </c>
      <c r="C86" s="16" t="s">
        <v>1776</v>
      </c>
      <c r="D86" s="16" t="s">
        <v>1620</v>
      </c>
    </row>
    <row r="87" spans="1:4">
      <c r="A87" s="16" t="s">
        <v>1612</v>
      </c>
      <c r="B87" s="16" t="s">
        <v>1777</v>
      </c>
      <c r="C87" s="16" t="s">
        <v>1778</v>
      </c>
      <c r="D87" s="16" t="s">
        <v>1620</v>
      </c>
    </row>
    <row r="88" spans="1:4">
      <c r="A88" s="16" t="s">
        <v>1612</v>
      </c>
      <c r="B88" s="16" t="s">
        <v>1779</v>
      </c>
      <c r="C88" s="16" t="s">
        <v>1780</v>
      </c>
      <c r="D88" s="16" t="s">
        <v>1615</v>
      </c>
    </row>
    <row r="89" spans="1:4">
      <c r="A89" s="16" t="s">
        <v>1612</v>
      </c>
      <c r="B89" s="16" t="s">
        <v>1781</v>
      </c>
      <c r="C89" s="16" t="s">
        <v>1782</v>
      </c>
      <c r="D89" s="16" t="s">
        <v>1620</v>
      </c>
    </row>
    <row r="90" spans="1:4">
      <c r="A90" s="16" t="s">
        <v>1612</v>
      </c>
      <c r="B90" s="16" t="s">
        <v>1783</v>
      </c>
      <c r="C90" s="16" t="s">
        <v>1784</v>
      </c>
      <c r="D90" s="16" t="s">
        <v>1620</v>
      </c>
    </row>
    <row r="91" spans="1:4">
      <c r="A91" s="16" t="s">
        <v>1612</v>
      </c>
      <c r="B91" s="16" t="s">
        <v>1785</v>
      </c>
      <c r="C91" s="16" t="s">
        <v>1786</v>
      </c>
      <c r="D91" s="16" t="s">
        <v>1615</v>
      </c>
    </row>
    <row r="92" spans="1:4">
      <c r="A92" s="16" t="s">
        <v>1612</v>
      </c>
      <c r="B92" s="16" t="s">
        <v>1787</v>
      </c>
      <c r="C92" s="16" t="s">
        <v>1788</v>
      </c>
      <c r="D92" s="16" t="s">
        <v>1620</v>
      </c>
    </row>
    <row r="93" spans="1:4">
      <c r="A93" s="16" t="s">
        <v>1612</v>
      </c>
      <c r="B93" s="16" t="s">
        <v>1789</v>
      </c>
      <c r="C93" s="16" t="s">
        <v>1790</v>
      </c>
      <c r="D93" s="16" t="s">
        <v>1620</v>
      </c>
    </row>
    <row r="94" spans="1:4">
      <c r="A94" s="16" t="s">
        <v>1612</v>
      </c>
      <c r="B94" s="16" t="s">
        <v>1791</v>
      </c>
      <c r="C94" s="16" t="s">
        <v>1792</v>
      </c>
      <c r="D94" s="16" t="s">
        <v>1620</v>
      </c>
    </row>
    <row r="95" spans="1:4">
      <c r="A95" s="16" t="s">
        <v>1612</v>
      </c>
      <c r="B95" s="16" t="s">
        <v>1793</v>
      </c>
      <c r="C95" s="16" t="s">
        <v>1794</v>
      </c>
      <c r="D95" s="16" t="s">
        <v>1620</v>
      </c>
    </row>
    <row r="96" spans="1:4">
      <c r="A96" s="16" t="s">
        <v>1612</v>
      </c>
      <c r="B96" s="16" t="s">
        <v>1795</v>
      </c>
      <c r="C96" s="16" t="s">
        <v>1796</v>
      </c>
      <c r="D96" s="16" t="s">
        <v>1620</v>
      </c>
    </row>
    <row r="97" spans="1:4">
      <c r="A97" s="16" t="s">
        <v>1612</v>
      </c>
      <c r="B97" s="16" t="s">
        <v>1797</v>
      </c>
      <c r="C97" s="16" t="s">
        <v>1798</v>
      </c>
      <c r="D97" s="16" t="s">
        <v>1620</v>
      </c>
    </row>
    <row r="98" spans="1:4">
      <c r="A98" s="16" t="s">
        <v>1612</v>
      </c>
      <c r="B98" s="16" t="s">
        <v>1799</v>
      </c>
      <c r="C98" s="16" t="s">
        <v>1800</v>
      </c>
      <c r="D98" s="16" t="s">
        <v>1620</v>
      </c>
    </row>
    <row r="99" spans="1:4">
      <c r="A99" s="16" t="s">
        <v>1612</v>
      </c>
      <c r="B99" s="16" t="s">
        <v>1801</v>
      </c>
      <c r="C99" s="16" t="s">
        <v>1802</v>
      </c>
      <c r="D99" s="16" t="s">
        <v>1620</v>
      </c>
    </row>
    <row r="100" spans="1:4">
      <c r="A100" s="16" t="s">
        <v>1612</v>
      </c>
      <c r="B100" s="16" t="s">
        <v>1803</v>
      </c>
      <c r="C100" s="16" t="s">
        <v>1804</v>
      </c>
      <c r="D100" s="16" t="s">
        <v>1615</v>
      </c>
    </row>
    <row r="101" spans="1:4">
      <c r="A101" s="16" t="s">
        <v>1612</v>
      </c>
      <c r="B101" s="16" t="s">
        <v>1805</v>
      </c>
      <c r="C101" s="16" t="s">
        <v>1806</v>
      </c>
      <c r="D101" s="16" t="s">
        <v>1620</v>
      </c>
    </row>
    <row r="102" spans="1:4">
      <c r="A102" s="16" t="s">
        <v>1612</v>
      </c>
      <c r="B102" s="16" t="s">
        <v>1807</v>
      </c>
      <c r="C102" s="16" t="s">
        <v>1808</v>
      </c>
      <c r="D102" s="16" t="s">
        <v>1620</v>
      </c>
    </row>
    <row r="103" spans="1:4">
      <c r="A103" s="16" t="s">
        <v>1612</v>
      </c>
      <c r="B103" s="16" t="s">
        <v>1809</v>
      </c>
      <c r="C103" s="16" t="s">
        <v>1810</v>
      </c>
      <c r="D103" s="16" t="s">
        <v>1620</v>
      </c>
    </row>
    <row r="104" spans="1:4">
      <c r="A104" s="16" t="s">
        <v>1612</v>
      </c>
      <c r="B104" s="16" t="s">
        <v>1811</v>
      </c>
      <c r="C104" s="16" t="s">
        <v>1812</v>
      </c>
      <c r="D104" s="16" t="s">
        <v>1620</v>
      </c>
    </row>
    <row r="105" spans="1:4">
      <c r="A105" s="16" t="s">
        <v>1612</v>
      </c>
      <c r="B105" s="16" t="s">
        <v>1813</v>
      </c>
      <c r="C105" s="16" t="s">
        <v>1814</v>
      </c>
      <c r="D105" s="16" t="s">
        <v>1620</v>
      </c>
    </row>
    <row r="106" spans="1:4">
      <c r="A106" s="16" t="s">
        <v>1612</v>
      </c>
      <c r="B106" s="16" t="s">
        <v>1815</v>
      </c>
      <c r="C106" s="16" t="s">
        <v>1816</v>
      </c>
      <c r="D106" s="16" t="s">
        <v>1620</v>
      </c>
    </row>
    <row r="107" spans="1:4">
      <c r="A107" s="16" t="s">
        <v>1612</v>
      </c>
      <c r="B107" s="16" t="s">
        <v>1817</v>
      </c>
      <c r="C107" s="16" t="s">
        <v>1818</v>
      </c>
      <c r="D107" s="16" t="s">
        <v>1620</v>
      </c>
    </row>
    <row r="108" spans="1:4">
      <c r="A108" s="16" t="s">
        <v>1612</v>
      </c>
      <c r="B108" s="16" t="s">
        <v>1819</v>
      </c>
      <c r="C108" s="16" t="s">
        <v>1820</v>
      </c>
      <c r="D108" s="16" t="s">
        <v>1620</v>
      </c>
    </row>
    <row r="109" spans="1:4">
      <c r="A109" s="16" t="s">
        <v>1612</v>
      </c>
      <c r="B109" s="16" t="s">
        <v>1821</v>
      </c>
      <c r="C109" s="16" t="s">
        <v>1822</v>
      </c>
      <c r="D109" s="16" t="s">
        <v>1620</v>
      </c>
    </row>
    <row r="110" spans="1:4">
      <c r="A110" s="16" t="s">
        <v>1612</v>
      </c>
      <c r="B110" s="16" t="s">
        <v>1823</v>
      </c>
      <c r="C110" s="16" t="s">
        <v>1824</v>
      </c>
      <c r="D110" s="16" t="s">
        <v>1620</v>
      </c>
    </row>
    <row r="111" spans="1:4">
      <c r="A111" s="16" t="s">
        <v>1612</v>
      </c>
      <c r="B111" s="16" t="s">
        <v>1825</v>
      </c>
      <c r="C111" s="16" t="s">
        <v>1826</v>
      </c>
      <c r="D111" s="16" t="s">
        <v>1620</v>
      </c>
    </row>
    <row r="112" spans="1:4">
      <c r="A112" s="16" t="s">
        <v>1612</v>
      </c>
      <c r="B112" s="16" t="s">
        <v>1827</v>
      </c>
      <c r="C112" s="16" t="s">
        <v>1828</v>
      </c>
      <c r="D112" s="16" t="s">
        <v>1615</v>
      </c>
    </row>
    <row r="113" spans="1:4">
      <c r="A113" s="16" t="s">
        <v>1612</v>
      </c>
      <c r="B113" s="16" t="s">
        <v>1829</v>
      </c>
      <c r="C113" s="16" t="s">
        <v>1830</v>
      </c>
      <c r="D113" s="16" t="s">
        <v>1620</v>
      </c>
    </row>
    <row r="114" spans="1:4">
      <c r="A114" s="16" t="s">
        <v>1612</v>
      </c>
      <c r="B114" s="16" t="s">
        <v>1831</v>
      </c>
      <c r="C114" s="16" t="s">
        <v>1832</v>
      </c>
      <c r="D114" s="16" t="s">
        <v>1620</v>
      </c>
    </row>
    <row r="115" spans="1:4">
      <c r="A115" s="16" t="s">
        <v>1612</v>
      </c>
      <c r="B115" s="16" t="s">
        <v>1833</v>
      </c>
      <c r="C115" s="16" t="s">
        <v>1834</v>
      </c>
      <c r="D115" s="16" t="s">
        <v>1620</v>
      </c>
    </row>
    <row r="116" spans="1:4">
      <c r="A116" s="16" t="s">
        <v>1612</v>
      </c>
      <c r="B116" s="16" t="s">
        <v>1835</v>
      </c>
      <c r="C116" s="16" t="s">
        <v>1836</v>
      </c>
      <c r="D116" s="16" t="s">
        <v>1620</v>
      </c>
    </row>
    <row r="117" spans="1:4">
      <c r="A117" s="16" t="s">
        <v>1612</v>
      </c>
      <c r="B117" s="16" t="s">
        <v>1837</v>
      </c>
      <c r="C117" s="16" t="s">
        <v>1838</v>
      </c>
      <c r="D117" s="16" t="s">
        <v>1620</v>
      </c>
    </row>
    <row r="118" spans="1:4">
      <c r="A118" s="16" t="s">
        <v>1612</v>
      </c>
      <c r="B118" s="16" t="s">
        <v>1839</v>
      </c>
      <c r="C118" s="16" t="s">
        <v>1840</v>
      </c>
      <c r="D118" s="16" t="s">
        <v>1620</v>
      </c>
    </row>
    <row r="119" spans="1:4">
      <c r="A119" s="16" t="s">
        <v>1612</v>
      </c>
      <c r="B119" s="16" t="s">
        <v>1841</v>
      </c>
      <c r="C119" s="16" t="s">
        <v>1842</v>
      </c>
      <c r="D119" s="16" t="s">
        <v>1620</v>
      </c>
    </row>
    <row r="120" spans="1:4">
      <c r="A120" s="16" t="s">
        <v>1612</v>
      </c>
      <c r="B120" s="16" t="s">
        <v>1843</v>
      </c>
      <c r="C120" s="16" t="s">
        <v>1844</v>
      </c>
      <c r="D120" s="16" t="s">
        <v>1620</v>
      </c>
    </row>
    <row r="121" spans="1:4">
      <c r="A121" s="16" t="s">
        <v>1612</v>
      </c>
      <c r="B121" s="16" t="s">
        <v>1845</v>
      </c>
      <c r="C121" s="16" t="s">
        <v>1846</v>
      </c>
      <c r="D121" s="16" t="s">
        <v>1620</v>
      </c>
    </row>
    <row r="122" spans="1:4">
      <c r="A122" s="16" t="s">
        <v>1612</v>
      </c>
      <c r="B122" s="16" t="s">
        <v>1847</v>
      </c>
      <c r="C122" s="16" t="s">
        <v>1848</v>
      </c>
      <c r="D122" s="16" t="s">
        <v>1620</v>
      </c>
    </row>
    <row r="123" spans="1:4">
      <c r="A123" s="16" t="s">
        <v>1612</v>
      </c>
      <c r="B123" s="16" t="s">
        <v>1849</v>
      </c>
      <c r="C123" s="16" t="s">
        <v>1850</v>
      </c>
      <c r="D123" s="16" t="s">
        <v>1620</v>
      </c>
    </row>
    <row r="124" spans="1:4">
      <c r="A124" s="16" t="s">
        <v>1612</v>
      </c>
      <c r="B124" s="16" t="s">
        <v>1851</v>
      </c>
      <c r="C124" s="16" t="s">
        <v>1852</v>
      </c>
      <c r="D124" s="16" t="s">
        <v>1620</v>
      </c>
    </row>
    <row r="125" spans="1:4">
      <c r="A125" s="16" t="s">
        <v>1612</v>
      </c>
      <c r="B125" s="16" t="s">
        <v>1853</v>
      </c>
      <c r="C125" s="16" t="s">
        <v>1854</v>
      </c>
      <c r="D125" s="16" t="s">
        <v>1620</v>
      </c>
    </row>
    <row r="126" spans="1:4">
      <c r="A126" s="16" t="s">
        <v>1612</v>
      </c>
      <c r="B126" s="16" t="s">
        <v>1855</v>
      </c>
      <c r="C126" s="16" t="s">
        <v>1856</v>
      </c>
      <c r="D126" s="16" t="s">
        <v>1620</v>
      </c>
    </row>
    <row r="127" spans="1:4">
      <c r="A127" s="16" t="s">
        <v>1612</v>
      </c>
      <c r="B127" s="16" t="s">
        <v>1857</v>
      </c>
      <c r="C127" s="16" t="s">
        <v>1858</v>
      </c>
      <c r="D127" s="16" t="s">
        <v>1620</v>
      </c>
    </row>
    <row r="128" spans="1:4">
      <c r="A128" s="16" t="s">
        <v>1612</v>
      </c>
      <c r="B128" s="16" t="s">
        <v>1859</v>
      </c>
      <c r="C128" s="16" t="s">
        <v>1860</v>
      </c>
      <c r="D128" s="16" t="s">
        <v>1615</v>
      </c>
    </row>
    <row r="129" spans="1:4">
      <c r="A129" s="16" t="s">
        <v>1612</v>
      </c>
      <c r="B129" s="16" t="s">
        <v>1861</v>
      </c>
      <c r="C129" s="16" t="s">
        <v>1862</v>
      </c>
      <c r="D129" s="16" t="s">
        <v>1615</v>
      </c>
    </row>
    <row r="130" spans="1:4">
      <c r="A130" s="16" t="s">
        <v>1612</v>
      </c>
      <c r="B130" s="16" t="s">
        <v>1863</v>
      </c>
      <c r="C130" s="16" t="s">
        <v>1864</v>
      </c>
      <c r="D130" s="16" t="s">
        <v>1615</v>
      </c>
    </row>
    <row r="131" spans="1:4">
      <c r="A131" s="16" t="s">
        <v>1612</v>
      </c>
      <c r="B131" s="16" t="s">
        <v>1865</v>
      </c>
      <c r="C131" s="16" t="s">
        <v>1866</v>
      </c>
      <c r="D131" s="16" t="s">
        <v>1620</v>
      </c>
    </row>
    <row r="132" spans="1:4">
      <c r="A132" s="16" t="s">
        <v>1612</v>
      </c>
      <c r="B132" s="16" t="s">
        <v>1867</v>
      </c>
      <c r="C132" s="16" t="s">
        <v>1868</v>
      </c>
      <c r="D132" s="16" t="s">
        <v>1620</v>
      </c>
    </row>
    <row r="133" spans="1:4">
      <c r="A133" s="16" t="s">
        <v>1612</v>
      </c>
      <c r="B133" s="16" t="s">
        <v>1869</v>
      </c>
      <c r="C133" s="16" t="s">
        <v>1870</v>
      </c>
      <c r="D133" s="16" t="s">
        <v>1620</v>
      </c>
    </row>
    <row r="134" spans="1:4">
      <c r="A134" s="16" t="s">
        <v>1612</v>
      </c>
      <c r="B134" s="16" t="s">
        <v>1871</v>
      </c>
      <c r="C134" s="16" t="s">
        <v>1872</v>
      </c>
      <c r="D134" s="16" t="s">
        <v>1615</v>
      </c>
    </row>
    <row r="135" spans="1:4">
      <c r="A135" s="16" t="s">
        <v>1612</v>
      </c>
      <c r="B135" s="16" t="s">
        <v>1873</v>
      </c>
      <c r="C135" s="16" t="s">
        <v>1874</v>
      </c>
      <c r="D135" s="16" t="s">
        <v>1615</v>
      </c>
    </row>
    <row r="136" spans="1:4">
      <c r="A136" s="16" t="s">
        <v>1612</v>
      </c>
      <c r="B136" s="16" t="s">
        <v>1875</v>
      </c>
      <c r="C136" s="16" t="s">
        <v>1876</v>
      </c>
      <c r="D136" s="16" t="s">
        <v>1620</v>
      </c>
    </row>
    <row r="137" spans="1:4">
      <c r="A137" s="16" t="s">
        <v>1612</v>
      </c>
      <c r="B137" s="16" t="s">
        <v>1877</v>
      </c>
      <c r="C137" s="16" t="s">
        <v>1878</v>
      </c>
      <c r="D137" s="16" t="s">
        <v>1615</v>
      </c>
    </row>
    <row r="138" spans="1:4">
      <c r="A138" s="16" t="s">
        <v>1612</v>
      </c>
      <c r="B138" s="16" t="s">
        <v>1879</v>
      </c>
      <c r="C138" s="16" t="s">
        <v>1880</v>
      </c>
      <c r="D138" s="16" t="s">
        <v>1620</v>
      </c>
    </row>
    <row r="139" spans="1:4">
      <c r="A139" s="16" t="s">
        <v>1612</v>
      </c>
      <c r="B139" s="16" t="s">
        <v>1881</v>
      </c>
      <c r="C139" s="16" t="s">
        <v>1882</v>
      </c>
      <c r="D139" s="16" t="s">
        <v>1615</v>
      </c>
    </row>
    <row r="140" spans="1:4">
      <c r="A140" s="16" t="s">
        <v>1612</v>
      </c>
      <c r="B140" s="16" t="s">
        <v>1883</v>
      </c>
      <c r="C140" s="16" t="s">
        <v>1884</v>
      </c>
      <c r="D140" s="16" t="s">
        <v>1615</v>
      </c>
    </row>
    <row r="141" spans="1:4">
      <c r="A141" s="16" t="s">
        <v>1612</v>
      </c>
      <c r="B141" s="16" t="s">
        <v>1885</v>
      </c>
      <c r="C141" s="16" t="s">
        <v>1886</v>
      </c>
      <c r="D141" s="16" t="s">
        <v>1620</v>
      </c>
    </row>
    <row r="142" spans="1:4">
      <c r="A142" s="16" t="s">
        <v>1612</v>
      </c>
      <c r="B142" s="16" t="s">
        <v>1887</v>
      </c>
      <c r="C142" s="16" t="s">
        <v>1888</v>
      </c>
      <c r="D142" s="16" t="s">
        <v>1615</v>
      </c>
    </row>
    <row r="143" spans="1:4">
      <c r="A143" s="16" t="s">
        <v>1612</v>
      </c>
      <c r="B143" s="16" t="s">
        <v>1889</v>
      </c>
      <c r="C143" s="16" t="s">
        <v>1890</v>
      </c>
      <c r="D143" s="16" t="s">
        <v>1620</v>
      </c>
    </row>
    <row r="144" spans="1:4">
      <c r="A144" s="16" t="s">
        <v>1612</v>
      </c>
      <c r="B144" s="16" t="s">
        <v>1891</v>
      </c>
      <c r="C144" s="16" t="s">
        <v>1892</v>
      </c>
      <c r="D144" s="16" t="s">
        <v>1620</v>
      </c>
    </row>
    <row r="145" spans="1:4">
      <c r="A145" s="16" t="s">
        <v>1612</v>
      </c>
      <c r="B145" s="16" t="s">
        <v>1893</v>
      </c>
      <c r="C145" s="16" t="s">
        <v>1894</v>
      </c>
      <c r="D145" s="16" t="s">
        <v>1615</v>
      </c>
    </row>
    <row r="146" spans="1:4">
      <c r="A146" s="16" t="s">
        <v>1612</v>
      </c>
      <c r="B146" s="16" t="s">
        <v>1895</v>
      </c>
      <c r="C146" s="16" t="s">
        <v>1896</v>
      </c>
      <c r="D146" s="16" t="s">
        <v>1620</v>
      </c>
    </row>
    <row r="147" spans="1:4">
      <c r="A147" s="16" t="s">
        <v>1612</v>
      </c>
      <c r="B147" s="16" t="s">
        <v>1897</v>
      </c>
      <c r="C147" s="16" t="s">
        <v>1898</v>
      </c>
      <c r="D147" s="16" t="s">
        <v>1615</v>
      </c>
    </row>
    <row r="148" spans="1:4">
      <c r="A148" s="16" t="s">
        <v>1612</v>
      </c>
      <c r="B148" s="16" t="s">
        <v>1899</v>
      </c>
      <c r="C148" s="16" t="s">
        <v>1900</v>
      </c>
      <c r="D148" s="16" t="s">
        <v>1615</v>
      </c>
    </row>
    <row r="149" spans="1:4">
      <c r="A149" s="16" t="s">
        <v>1612</v>
      </c>
      <c r="B149" s="16" t="s">
        <v>1901</v>
      </c>
      <c r="C149" s="16" t="s">
        <v>1902</v>
      </c>
      <c r="D149" s="16" t="s">
        <v>1620</v>
      </c>
    </row>
    <row r="150" spans="1:4">
      <c r="A150" s="16" t="s">
        <v>1612</v>
      </c>
      <c r="B150" s="16" t="s">
        <v>1903</v>
      </c>
      <c r="C150" s="16" t="s">
        <v>1904</v>
      </c>
      <c r="D150" s="16" t="s">
        <v>1615</v>
      </c>
    </row>
    <row r="151" spans="1:4">
      <c r="A151" s="16" t="s">
        <v>1612</v>
      </c>
      <c r="B151" s="16" t="s">
        <v>1905</v>
      </c>
      <c r="C151" s="16" t="s">
        <v>1906</v>
      </c>
      <c r="D151" s="16" t="s">
        <v>1615</v>
      </c>
    </row>
    <row r="152" spans="1:4">
      <c r="A152" s="16" t="s">
        <v>1612</v>
      </c>
      <c r="B152" s="16" t="s">
        <v>1907</v>
      </c>
      <c r="C152" s="16" t="s">
        <v>1908</v>
      </c>
      <c r="D152" s="16" t="s">
        <v>1620</v>
      </c>
    </row>
    <row r="153" spans="1:4">
      <c r="A153" s="16" t="s">
        <v>1612</v>
      </c>
      <c r="B153" s="16" t="s">
        <v>1909</v>
      </c>
      <c r="C153" s="16" t="s">
        <v>1910</v>
      </c>
      <c r="D153" s="16" t="s">
        <v>1620</v>
      </c>
    </row>
    <row r="154" spans="1:4">
      <c r="A154" s="16" t="s">
        <v>1612</v>
      </c>
      <c r="B154" s="16" t="s">
        <v>1911</v>
      </c>
      <c r="C154" s="16" t="s">
        <v>1912</v>
      </c>
      <c r="D154" s="16" t="s">
        <v>1620</v>
      </c>
    </row>
    <row r="155" spans="1:4">
      <c r="A155" s="16" t="s">
        <v>1612</v>
      </c>
      <c r="B155" s="16" t="s">
        <v>1913</v>
      </c>
      <c r="C155" s="16" t="s">
        <v>1914</v>
      </c>
      <c r="D155" s="16" t="s">
        <v>1620</v>
      </c>
    </row>
    <row r="156" spans="1:4">
      <c r="A156" s="16" t="s">
        <v>1612</v>
      </c>
      <c r="B156" s="16" t="s">
        <v>1915</v>
      </c>
      <c r="C156" s="16" t="s">
        <v>1916</v>
      </c>
      <c r="D156" s="16" t="s">
        <v>1620</v>
      </c>
    </row>
    <row r="157" spans="1:4">
      <c r="A157" s="16" t="s">
        <v>1612</v>
      </c>
      <c r="B157" s="16" t="s">
        <v>1917</v>
      </c>
      <c r="C157" s="16" t="s">
        <v>1918</v>
      </c>
      <c r="D157" s="16" t="s">
        <v>1620</v>
      </c>
    </row>
    <row r="158" spans="1:4">
      <c r="A158" s="16" t="s">
        <v>1612</v>
      </c>
      <c r="B158" s="16" t="s">
        <v>1919</v>
      </c>
      <c r="C158" s="16" t="s">
        <v>1920</v>
      </c>
      <c r="D158" s="16" t="s">
        <v>1615</v>
      </c>
    </row>
    <row r="159" spans="1:4">
      <c r="A159" s="16" t="s">
        <v>1612</v>
      </c>
      <c r="B159" s="16" t="s">
        <v>1921</v>
      </c>
      <c r="C159" s="16" t="s">
        <v>1922</v>
      </c>
      <c r="D159" s="16" t="s">
        <v>1620</v>
      </c>
    </row>
    <row r="160" spans="1:4">
      <c r="A160" s="16" t="s">
        <v>1612</v>
      </c>
      <c r="B160" s="16" t="s">
        <v>1923</v>
      </c>
      <c r="C160" s="16" t="s">
        <v>1924</v>
      </c>
      <c r="D160" s="16" t="s">
        <v>1620</v>
      </c>
    </row>
    <row r="161" spans="1:4">
      <c r="A161" s="16" t="s">
        <v>1612</v>
      </c>
      <c r="B161" s="16" t="s">
        <v>1925</v>
      </c>
      <c r="C161" s="16" t="s">
        <v>1926</v>
      </c>
      <c r="D161" s="16" t="s">
        <v>1620</v>
      </c>
    </row>
    <row r="162" spans="1:4">
      <c r="A162" s="16" t="s">
        <v>1612</v>
      </c>
      <c r="B162" s="16" t="s">
        <v>1927</v>
      </c>
      <c r="C162" s="16" t="s">
        <v>1928</v>
      </c>
      <c r="D162" s="16" t="s">
        <v>1615</v>
      </c>
    </row>
    <row r="163" spans="1:4">
      <c r="A163" s="16" t="s">
        <v>1612</v>
      </c>
      <c r="B163" s="16" t="s">
        <v>1929</v>
      </c>
      <c r="C163" s="16" t="s">
        <v>1930</v>
      </c>
      <c r="D163" s="16" t="s">
        <v>1620</v>
      </c>
    </row>
    <row r="164" spans="1:4">
      <c r="A164" s="16" t="s">
        <v>1612</v>
      </c>
      <c r="B164" s="16" t="s">
        <v>1931</v>
      </c>
      <c r="C164" s="16" t="s">
        <v>1932</v>
      </c>
      <c r="D164" s="16" t="s">
        <v>1620</v>
      </c>
    </row>
    <row r="165" spans="1:4">
      <c r="A165" s="16" t="s">
        <v>1612</v>
      </c>
      <c r="B165" s="16" t="s">
        <v>1933</v>
      </c>
      <c r="C165" s="16" t="s">
        <v>1934</v>
      </c>
      <c r="D165" s="16" t="s">
        <v>1620</v>
      </c>
    </row>
    <row r="166" spans="1:4">
      <c r="A166" s="16" t="s">
        <v>1612</v>
      </c>
      <c r="B166" s="16" t="s">
        <v>1935</v>
      </c>
      <c r="C166" s="16" t="s">
        <v>1936</v>
      </c>
      <c r="D166" s="16" t="s">
        <v>1615</v>
      </c>
    </row>
    <row r="167" spans="1:4">
      <c r="A167" s="16" t="s">
        <v>1612</v>
      </c>
      <c r="B167" s="16" t="s">
        <v>1937</v>
      </c>
      <c r="C167" s="16" t="s">
        <v>1938</v>
      </c>
      <c r="D167" s="16" t="s">
        <v>1620</v>
      </c>
    </row>
    <row r="168" spans="1:4">
      <c r="A168" s="16" t="s">
        <v>1612</v>
      </c>
      <c r="B168" s="16" t="s">
        <v>1939</v>
      </c>
      <c r="C168" s="16" t="s">
        <v>1940</v>
      </c>
      <c r="D168" s="16" t="s">
        <v>1615</v>
      </c>
    </row>
    <row r="169" spans="1:4">
      <c r="A169" s="16" t="s">
        <v>1612</v>
      </c>
      <c r="B169" s="16" t="s">
        <v>1941</v>
      </c>
      <c r="C169" s="16" t="s">
        <v>1942</v>
      </c>
      <c r="D169" s="16" t="s">
        <v>1620</v>
      </c>
    </row>
    <row r="170" spans="1:4">
      <c r="A170" s="16" t="s">
        <v>1612</v>
      </c>
      <c r="B170" s="16" t="s">
        <v>1943</v>
      </c>
      <c r="C170" s="16" t="s">
        <v>1944</v>
      </c>
      <c r="D170" s="16" t="s">
        <v>1620</v>
      </c>
    </row>
    <row r="171" spans="1:4">
      <c r="A171" s="16" t="s">
        <v>1612</v>
      </c>
      <c r="B171" s="16" t="s">
        <v>1943</v>
      </c>
      <c r="C171" s="16" t="s">
        <v>1945</v>
      </c>
      <c r="D171" s="16" t="s">
        <v>1615</v>
      </c>
    </row>
    <row r="172" spans="1:4">
      <c r="A172" s="16" t="s">
        <v>1612</v>
      </c>
      <c r="B172" s="16" t="s">
        <v>1946</v>
      </c>
      <c r="C172" s="16" t="s">
        <v>1947</v>
      </c>
      <c r="D172" s="16" t="s">
        <v>1620</v>
      </c>
    </row>
    <row r="173" spans="1:4">
      <c r="A173" s="16" t="s">
        <v>1612</v>
      </c>
      <c r="B173" s="16" t="s">
        <v>1948</v>
      </c>
      <c r="C173" s="16" t="s">
        <v>1949</v>
      </c>
      <c r="D173" s="16" t="s">
        <v>1620</v>
      </c>
    </row>
    <row r="174" spans="1:4">
      <c r="A174" s="16" t="s">
        <v>1612</v>
      </c>
      <c r="B174" s="16" t="s">
        <v>1950</v>
      </c>
      <c r="C174" s="16" t="s">
        <v>1951</v>
      </c>
      <c r="D174" s="16" t="s">
        <v>1615</v>
      </c>
    </row>
    <row r="175" spans="1:4">
      <c r="A175" s="16" t="s">
        <v>1612</v>
      </c>
      <c r="B175" s="16" t="s">
        <v>1950</v>
      </c>
      <c r="C175" s="16" t="s">
        <v>1952</v>
      </c>
      <c r="D175" s="16" t="s">
        <v>1620</v>
      </c>
    </row>
    <row r="176" spans="1:4">
      <c r="A176" s="16" t="s">
        <v>1612</v>
      </c>
      <c r="B176" s="16" t="s">
        <v>1953</v>
      </c>
      <c r="C176" s="16" t="s">
        <v>1954</v>
      </c>
      <c r="D176" s="16" t="s">
        <v>1620</v>
      </c>
    </row>
    <row r="177" spans="1:4">
      <c r="A177" s="16" t="s">
        <v>1612</v>
      </c>
      <c r="B177" s="16" t="s">
        <v>1955</v>
      </c>
      <c r="C177" s="16" t="s">
        <v>1956</v>
      </c>
      <c r="D177" s="16" t="s">
        <v>1615</v>
      </c>
    </row>
    <row r="178" spans="1:4">
      <c r="A178" s="16" t="s">
        <v>1612</v>
      </c>
      <c r="B178" s="16" t="s">
        <v>1957</v>
      </c>
      <c r="C178" s="16" t="s">
        <v>1958</v>
      </c>
      <c r="D178" s="16" t="s">
        <v>1620</v>
      </c>
    </row>
    <row r="179" spans="1:4">
      <c r="A179" s="16" t="s">
        <v>1612</v>
      </c>
      <c r="B179" s="16" t="s">
        <v>1959</v>
      </c>
      <c r="C179" s="16" t="s">
        <v>1960</v>
      </c>
      <c r="D179" s="16" t="s">
        <v>1615</v>
      </c>
    </row>
    <row r="180" spans="1:4">
      <c r="A180" s="16" t="s">
        <v>1612</v>
      </c>
      <c r="B180" s="16" t="s">
        <v>1961</v>
      </c>
      <c r="C180" s="16" t="s">
        <v>1962</v>
      </c>
      <c r="D180" s="16" t="s">
        <v>1620</v>
      </c>
    </row>
    <row r="181" spans="1:4">
      <c r="A181" s="16" t="s">
        <v>1612</v>
      </c>
      <c r="B181" s="16" t="s">
        <v>1963</v>
      </c>
      <c r="C181" s="16" t="s">
        <v>1964</v>
      </c>
      <c r="D181" s="16" t="s">
        <v>1620</v>
      </c>
    </row>
    <row r="182" spans="1:4">
      <c r="A182" s="16" t="s">
        <v>1612</v>
      </c>
      <c r="B182" s="16" t="s">
        <v>1965</v>
      </c>
      <c r="C182" s="16" t="s">
        <v>1966</v>
      </c>
      <c r="D182" s="16" t="s">
        <v>1620</v>
      </c>
    </row>
    <row r="183" spans="1:4">
      <c r="A183" s="16" t="s">
        <v>1612</v>
      </c>
      <c r="B183" s="16" t="s">
        <v>1967</v>
      </c>
      <c r="C183" s="16" t="s">
        <v>1968</v>
      </c>
      <c r="D183" s="16" t="s">
        <v>1615</v>
      </c>
    </row>
    <row r="184" spans="1:4">
      <c r="A184" s="16" t="s">
        <v>1612</v>
      </c>
      <c r="B184" s="16" t="s">
        <v>1969</v>
      </c>
      <c r="C184" s="16" t="s">
        <v>1970</v>
      </c>
      <c r="D184" s="16" t="s">
        <v>1620</v>
      </c>
    </row>
    <row r="185" spans="1:4">
      <c r="A185" s="16" t="s">
        <v>1612</v>
      </c>
      <c r="B185" s="16" t="s">
        <v>1971</v>
      </c>
      <c r="C185" s="16" t="s">
        <v>1972</v>
      </c>
      <c r="D185" s="16" t="s">
        <v>1620</v>
      </c>
    </row>
    <row r="186" spans="1:4">
      <c r="A186" s="16" t="s">
        <v>1612</v>
      </c>
      <c r="B186" s="16" t="s">
        <v>1973</v>
      </c>
      <c r="C186" s="16" t="s">
        <v>1974</v>
      </c>
      <c r="D186" s="16" t="s">
        <v>1620</v>
      </c>
    </row>
    <row r="187" spans="1:4">
      <c r="A187" s="16" t="s">
        <v>1612</v>
      </c>
      <c r="B187" s="16" t="s">
        <v>1975</v>
      </c>
      <c r="C187" s="16" t="s">
        <v>1976</v>
      </c>
      <c r="D187" s="16" t="s">
        <v>1615</v>
      </c>
    </row>
    <row r="188" spans="1:4">
      <c r="A188" s="16" t="s">
        <v>1612</v>
      </c>
      <c r="B188" s="16" t="s">
        <v>1977</v>
      </c>
      <c r="C188" s="16" t="s">
        <v>1978</v>
      </c>
      <c r="D188" s="16" t="s">
        <v>1615</v>
      </c>
    </row>
    <row r="189" spans="1:4">
      <c r="A189" s="16" t="s">
        <v>1612</v>
      </c>
      <c r="B189" s="16" t="s">
        <v>1977</v>
      </c>
      <c r="C189" s="16" t="s">
        <v>1979</v>
      </c>
      <c r="D189" s="16" t="s">
        <v>1620</v>
      </c>
    </row>
    <row r="190" spans="1:4">
      <c r="A190" s="16" t="s">
        <v>1612</v>
      </c>
      <c r="B190" s="16" t="s">
        <v>1980</v>
      </c>
      <c r="C190" s="16" t="s">
        <v>1981</v>
      </c>
      <c r="D190" s="16" t="s">
        <v>1615</v>
      </c>
    </row>
    <row r="191" spans="1:4">
      <c r="A191" s="16" t="s">
        <v>1612</v>
      </c>
      <c r="B191" s="16" t="s">
        <v>1982</v>
      </c>
      <c r="C191" s="16" t="s">
        <v>1983</v>
      </c>
      <c r="D191" s="16" t="s">
        <v>1620</v>
      </c>
    </row>
    <row r="192" spans="1:4">
      <c r="A192" s="16" t="s">
        <v>1612</v>
      </c>
      <c r="B192" s="16" t="s">
        <v>1984</v>
      </c>
      <c r="C192" s="16" t="s">
        <v>1985</v>
      </c>
      <c r="D192" s="16" t="s">
        <v>1620</v>
      </c>
    </row>
    <row r="193" spans="1:4">
      <c r="A193" s="16" t="s">
        <v>1612</v>
      </c>
      <c r="B193" s="16" t="s">
        <v>1984</v>
      </c>
      <c r="C193" s="16" t="s">
        <v>1986</v>
      </c>
      <c r="D193" s="16" t="s">
        <v>1615</v>
      </c>
    </row>
    <row r="194" spans="1:4">
      <c r="A194" s="16" t="s">
        <v>1612</v>
      </c>
      <c r="B194" s="16" t="s">
        <v>1987</v>
      </c>
      <c r="C194" s="16" t="s">
        <v>1988</v>
      </c>
      <c r="D194" s="16" t="s">
        <v>1620</v>
      </c>
    </row>
    <row r="195" spans="1:4">
      <c r="A195" s="16" t="s">
        <v>1612</v>
      </c>
      <c r="B195" s="16" t="s">
        <v>1989</v>
      </c>
      <c r="C195" s="16" t="s">
        <v>1990</v>
      </c>
      <c r="D195" s="16" t="s">
        <v>1615</v>
      </c>
    </row>
    <row r="196" spans="1:4">
      <c r="A196" s="16" t="s">
        <v>1612</v>
      </c>
      <c r="B196" s="16" t="s">
        <v>1991</v>
      </c>
      <c r="C196" s="16" t="s">
        <v>1992</v>
      </c>
      <c r="D196" s="16" t="s">
        <v>1615</v>
      </c>
    </row>
    <row r="197" spans="1:4">
      <c r="A197" s="16" t="s">
        <v>1612</v>
      </c>
      <c r="B197" s="16" t="s">
        <v>1993</v>
      </c>
      <c r="C197" s="16" t="s">
        <v>1994</v>
      </c>
      <c r="D197" s="16" t="s">
        <v>1620</v>
      </c>
    </row>
    <row r="198" spans="1:4">
      <c r="A198" s="16" t="s">
        <v>1612</v>
      </c>
      <c r="B198" s="16" t="s">
        <v>1995</v>
      </c>
      <c r="C198" s="16" t="s">
        <v>1996</v>
      </c>
      <c r="D198" s="16" t="s">
        <v>1620</v>
      </c>
    </row>
    <row r="199" spans="1:4">
      <c r="A199" s="16" t="s">
        <v>1612</v>
      </c>
      <c r="B199" s="16" t="s">
        <v>1997</v>
      </c>
      <c r="C199" s="16" t="s">
        <v>1998</v>
      </c>
      <c r="D199" s="16" t="s">
        <v>1620</v>
      </c>
    </row>
    <row r="200" spans="1:4">
      <c r="A200" s="16" t="s">
        <v>1612</v>
      </c>
      <c r="B200" s="16" t="s">
        <v>1999</v>
      </c>
      <c r="C200" s="16" t="s">
        <v>2000</v>
      </c>
      <c r="D200" s="16" t="s">
        <v>1620</v>
      </c>
    </row>
    <row r="201" spans="1:4">
      <c r="A201" s="16" t="s">
        <v>1612</v>
      </c>
      <c r="B201" s="16" t="s">
        <v>2001</v>
      </c>
      <c r="C201" s="16" t="s">
        <v>2002</v>
      </c>
      <c r="D201" s="16" t="s">
        <v>1620</v>
      </c>
    </row>
    <row r="202" spans="1:4">
      <c r="A202" s="16" t="s">
        <v>1612</v>
      </c>
      <c r="B202" s="16" t="s">
        <v>2003</v>
      </c>
      <c r="C202" s="16" t="s">
        <v>2004</v>
      </c>
      <c r="D202" s="16" t="s">
        <v>1620</v>
      </c>
    </row>
    <row r="203" spans="1:4">
      <c r="A203" s="16" t="s">
        <v>1612</v>
      </c>
      <c r="B203" s="16" t="s">
        <v>2005</v>
      </c>
      <c r="C203" s="16" t="s">
        <v>2006</v>
      </c>
      <c r="D203" s="16" t="s">
        <v>1615</v>
      </c>
    </row>
    <row r="204" spans="1:4">
      <c r="A204" s="16" t="s">
        <v>2007</v>
      </c>
      <c r="B204" s="16" t="s">
        <v>1917</v>
      </c>
      <c r="C204" s="16" t="s">
        <v>1918</v>
      </c>
      <c r="D204" s="16"/>
    </row>
    <row r="205" spans="1:4">
      <c r="A205" s="16" t="s">
        <v>2007</v>
      </c>
      <c r="B205" s="16" t="s">
        <v>1911</v>
      </c>
      <c r="C205" s="16" t="s">
        <v>1912</v>
      </c>
      <c r="D205" s="16"/>
    </row>
    <row r="206" spans="1:4">
      <c r="A206" s="16" t="s">
        <v>2007</v>
      </c>
      <c r="B206" s="16" t="s">
        <v>1913</v>
      </c>
      <c r="C206" s="16" t="s">
        <v>2008</v>
      </c>
      <c r="D206" s="16"/>
    </row>
    <row r="207" spans="1:4">
      <c r="A207" s="16" t="s">
        <v>2007</v>
      </c>
      <c r="B207" s="16" t="s">
        <v>2009</v>
      </c>
      <c r="C207" s="16" t="s">
        <v>2010</v>
      </c>
      <c r="D207" s="16"/>
    </row>
    <row r="208" spans="1:4">
      <c r="A208" s="16" t="s">
        <v>2007</v>
      </c>
      <c r="B208" s="16" t="s">
        <v>2011</v>
      </c>
      <c r="C208" s="16" t="s">
        <v>2010</v>
      </c>
      <c r="D208" s="16"/>
    </row>
    <row r="209" spans="1:4">
      <c r="A209" s="16" t="s">
        <v>2007</v>
      </c>
      <c r="B209" s="16" t="s">
        <v>2012</v>
      </c>
      <c r="C209" s="16" t="s">
        <v>2013</v>
      </c>
      <c r="D209" s="16"/>
    </row>
    <row r="210" spans="1:4">
      <c r="A210" s="16" t="s">
        <v>2007</v>
      </c>
      <c r="B210" s="16" t="s">
        <v>2014</v>
      </c>
      <c r="C210" s="16" t="s">
        <v>2015</v>
      </c>
      <c r="D210" s="16"/>
    </row>
    <row r="211" spans="1:4">
      <c r="A211" s="16" t="s">
        <v>2007</v>
      </c>
      <c r="B211" s="16" t="s">
        <v>2016</v>
      </c>
      <c r="C211" s="16" t="s">
        <v>2017</v>
      </c>
      <c r="D211" s="16"/>
    </row>
    <row r="212" spans="1:4">
      <c r="A212" s="16" t="s">
        <v>2007</v>
      </c>
      <c r="B212" s="16" t="s">
        <v>2018</v>
      </c>
      <c r="C212" s="16" t="s">
        <v>2019</v>
      </c>
      <c r="D212" s="16"/>
    </row>
  </sheetData>
  <autoFilter ref="A1:D212" xr:uid="{7A711912-9B17-4286-BC74-B5D2F77A6457}"/>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EE12B-C12A-4538-8A7F-AD9291B2EA3F}">
  <dimension ref="A1:E22"/>
  <sheetViews>
    <sheetView workbookViewId="0">
      <selection activeCell="C12" sqref="C12"/>
    </sheetView>
  </sheetViews>
  <sheetFormatPr defaultColWidth="8.7109375" defaultRowHeight="14.45"/>
  <cols>
    <col min="1" max="1" width="43.5703125" style="17" bestFit="1" customWidth="1"/>
    <col min="2" max="2" width="26.28515625" style="17" customWidth="1"/>
    <col min="3" max="3" width="197.42578125" style="17" bestFit="1" customWidth="1"/>
    <col min="4" max="4" width="14" style="17" customWidth="1"/>
    <col min="5" max="5" width="13" style="17" customWidth="1"/>
    <col min="6" max="16384" width="8.7109375" style="17"/>
  </cols>
  <sheetData>
    <row r="1" spans="1:5">
      <c r="A1" s="19" t="s">
        <v>1608</v>
      </c>
      <c r="B1" s="19" t="s">
        <v>1609</v>
      </c>
      <c r="C1" s="19" t="s">
        <v>1610</v>
      </c>
      <c r="D1" s="19" t="s">
        <v>2020</v>
      </c>
      <c r="E1" s="19" t="s">
        <v>2021</v>
      </c>
    </row>
    <row r="2" spans="1:5">
      <c r="A2" s="18" t="s">
        <v>2022</v>
      </c>
      <c r="B2" s="17" t="s">
        <v>2023</v>
      </c>
      <c r="C2" s="17" t="s">
        <v>2024</v>
      </c>
      <c r="D2" s="17" t="s">
        <v>2025</v>
      </c>
      <c r="E2" s="17">
        <v>0</v>
      </c>
    </row>
    <row r="3" spans="1:5">
      <c r="A3" s="18" t="s">
        <v>2022</v>
      </c>
      <c r="B3" s="17" t="s">
        <v>2026</v>
      </c>
      <c r="C3" s="17" t="s">
        <v>2027</v>
      </c>
      <c r="D3" s="17" t="s">
        <v>2025</v>
      </c>
      <c r="E3" s="17">
        <v>0</v>
      </c>
    </row>
    <row r="4" spans="1:5">
      <c r="A4" s="18" t="s">
        <v>2022</v>
      </c>
      <c r="B4" s="17" t="s">
        <v>2028</v>
      </c>
      <c r="C4" s="17" t="s">
        <v>2029</v>
      </c>
      <c r="D4" s="17" t="s">
        <v>2025</v>
      </c>
      <c r="E4" s="17">
        <v>0</v>
      </c>
    </row>
    <row r="5" spans="1:5">
      <c r="A5" s="18" t="s">
        <v>2022</v>
      </c>
      <c r="B5" s="17" t="s">
        <v>2030</v>
      </c>
      <c r="C5" s="17" t="s">
        <v>2031</v>
      </c>
      <c r="D5" s="17" t="s">
        <v>2025</v>
      </c>
      <c r="E5" s="17">
        <v>0</v>
      </c>
    </row>
    <row r="6" spans="1:5">
      <c r="A6" s="18" t="s">
        <v>2022</v>
      </c>
      <c r="B6" s="17" t="s">
        <v>2032</v>
      </c>
      <c r="C6" s="17" t="s">
        <v>2033</v>
      </c>
      <c r="D6" s="17" t="s">
        <v>2025</v>
      </c>
      <c r="E6" s="17">
        <v>0</v>
      </c>
    </row>
    <row r="7" spans="1:5">
      <c r="A7" s="18" t="s">
        <v>2022</v>
      </c>
      <c r="B7" s="17" t="s">
        <v>2034</v>
      </c>
      <c r="C7" s="17" t="s">
        <v>2035</v>
      </c>
      <c r="D7" s="17" t="s">
        <v>2025</v>
      </c>
      <c r="E7" s="17">
        <v>0</v>
      </c>
    </row>
    <row r="8" spans="1:5">
      <c r="A8" s="18" t="s">
        <v>2022</v>
      </c>
      <c r="B8" s="17" t="s">
        <v>2036</v>
      </c>
      <c r="C8" s="17" t="s">
        <v>2037</v>
      </c>
      <c r="D8" s="17" t="s">
        <v>2025</v>
      </c>
      <c r="E8" s="17">
        <v>0</v>
      </c>
    </row>
    <row r="9" spans="1:5">
      <c r="A9" s="18" t="s">
        <v>2022</v>
      </c>
      <c r="B9" s="17" t="s">
        <v>2036</v>
      </c>
      <c r="C9" s="17" t="s">
        <v>2038</v>
      </c>
      <c r="D9" s="17" t="s">
        <v>2025</v>
      </c>
      <c r="E9" s="17">
        <v>0</v>
      </c>
    </row>
    <row r="10" spans="1:5">
      <c r="A10" s="18" t="s">
        <v>2022</v>
      </c>
      <c r="B10" s="17" t="s">
        <v>2039</v>
      </c>
      <c r="C10" s="17" t="s">
        <v>2040</v>
      </c>
      <c r="D10" s="17" t="s">
        <v>2025</v>
      </c>
      <c r="E10" s="17">
        <v>0</v>
      </c>
    </row>
    <row r="11" spans="1:5">
      <c r="A11" s="18" t="s">
        <v>2022</v>
      </c>
      <c r="B11" s="17" t="s">
        <v>2041</v>
      </c>
      <c r="C11" s="17" t="s">
        <v>2042</v>
      </c>
      <c r="D11" s="17" t="s">
        <v>2025</v>
      </c>
      <c r="E11" s="17">
        <v>0</v>
      </c>
    </row>
    <row r="12" spans="1:5">
      <c r="A12" s="18" t="s">
        <v>2022</v>
      </c>
      <c r="B12" s="17" t="s">
        <v>2043</v>
      </c>
      <c r="C12" s="17" t="s">
        <v>2044</v>
      </c>
      <c r="D12" s="17" t="s">
        <v>2025</v>
      </c>
      <c r="E12" s="17">
        <v>0</v>
      </c>
    </row>
    <row r="13" spans="1:5">
      <c r="A13" s="18" t="s">
        <v>2022</v>
      </c>
      <c r="B13" s="17" t="s">
        <v>2045</v>
      </c>
      <c r="C13" s="17" t="s">
        <v>2046</v>
      </c>
      <c r="D13" s="17" t="s">
        <v>2025</v>
      </c>
      <c r="E13" s="17">
        <v>0</v>
      </c>
    </row>
    <row r="14" spans="1:5">
      <c r="A14" s="18" t="s">
        <v>2022</v>
      </c>
      <c r="B14" s="17" t="s">
        <v>2047</v>
      </c>
      <c r="C14" s="17" t="s">
        <v>2048</v>
      </c>
      <c r="D14" s="17" t="s">
        <v>2025</v>
      </c>
      <c r="E14" s="17">
        <v>0</v>
      </c>
    </row>
    <row r="15" spans="1:5">
      <c r="A15" s="18" t="s">
        <v>2022</v>
      </c>
      <c r="B15" s="17" t="s">
        <v>2049</v>
      </c>
      <c r="C15" s="17" t="s">
        <v>2050</v>
      </c>
      <c r="D15" s="17" t="s">
        <v>2025</v>
      </c>
      <c r="E15" s="17">
        <v>0</v>
      </c>
    </row>
    <row r="16" spans="1:5">
      <c r="A16" s="18" t="s">
        <v>2022</v>
      </c>
      <c r="B16" s="17" t="s">
        <v>2051</v>
      </c>
      <c r="C16" s="17" t="s">
        <v>2052</v>
      </c>
      <c r="D16" s="17" t="s">
        <v>2025</v>
      </c>
      <c r="E16" s="17">
        <v>0</v>
      </c>
    </row>
    <row r="17" spans="1:5">
      <c r="A17" s="18" t="s">
        <v>2022</v>
      </c>
      <c r="B17" s="17" t="s">
        <v>2053</v>
      </c>
      <c r="C17" s="17" t="s">
        <v>2054</v>
      </c>
      <c r="D17" s="17" t="s">
        <v>2025</v>
      </c>
      <c r="E17" s="17">
        <v>0</v>
      </c>
    </row>
    <row r="18" spans="1:5">
      <c r="A18" s="18" t="s">
        <v>2022</v>
      </c>
      <c r="B18" s="17" t="s">
        <v>2055</v>
      </c>
      <c r="C18" s="17" t="s">
        <v>2056</v>
      </c>
      <c r="D18" s="17" t="s">
        <v>2025</v>
      </c>
      <c r="E18" s="17">
        <v>0</v>
      </c>
    </row>
    <row r="19" spans="1:5">
      <c r="A19" s="18" t="s">
        <v>2022</v>
      </c>
      <c r="B19" s="17" t="s">
        <v>2057</v>
      </c>
      <c r="C19" s="17" t="s">
        <v>2058</v>
      </c>
      <c r="D19" s="17" t="s">
        <v>2025</v>
      </c>
      <c r="E19" s="17">
        <v>0</v>
      </c>
    </row>
    <row r="20" spans="1:5">
      <c r="A20" s="18" t="s">
        <v>2022</v>
      </c>
      <c r="B20" s="17" t="s">
        <v>2059</v>
      </c>
      <c r="C20" s="17" t="s">
        <v>2060</v>
      </c>
      <c r="D20" s="17" t="s">
        <v>2025</v>
      </c>
      <c r="E20" s="17">
        <v>0</v>
      </c>
    </row>
    <row r="21" spans="1:5">
      <c r="A21" s="18" t="s">
        <v>2022</v>
      </c>
      <c r="B21" s="17" t="s">
        <v>2061</v>
      </c>
      <c r="C21" s="17" t="s">
        <v>2062</v>
      </c>
      <c r="D21" s="17" t="s">
        <v>2025</v>
      </c>
      <c r="E21" s="17">
        <v>0</v>
      </c>
    </row>
    <row r="22" spans="1:5">
      <c r="A22" s="18" t="s">
        <v>2022</v>
      </c>
      <c r="B22" s="17" t="s">
        <v>2063</v>
      </c>
      <c r="C22" s="17" t="s">
        <v>2064</v>
      </c>
      <c r="D22" s="17" t="s">
        <v>2025</v>
      </c>
      <c r="E22" s="17">
        <v>0</v>
      </c>
    </row>
  </sheetData>
  <pageMargins left="0.75" right="0.75" top="1" bottom="1" header="0.5" footer="0.5"/>
  <pageSetup paperSize="9"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812BB15B263C94DB319C235AA8D604E" ma:contentTypeVersion="16" ma:contentTypeDescription="Creare un nuovo documento." ma:contentTypeScope="" ma:versionID="21f225b2bade0ca8cb5ca9f8fcfd9b4f">
  <xsd:schema xmlns:xsd="http://www.w3.org/2001/XMLSchema" xmlns:xs="http://www.w3.org/2001/XMLSchema" xmlns:p="http://schemas.microsoft.com/office/2006/metadata/properties" xmlns:ns1="http://schemas.microsoft.com/sharepoint/v3" xmlns:ns2="dbd605be-08cc-4ad0-9c83-9a4bee790722" xmlns:ns3="46a7efbf-8f50-4538-a7e4-ebae49316ec6" targetNamespace="http://schemas.microsoft.com/office/2006/metadata/properties" ma:root="true" ma:fieldsID="0dafd1241008c38afb3ecdf89b3e04e9" ns1:_="" ns2:_="" ns3:_="">
    <xsd:import namespace="http://schemas.microsoft.com/sharepoint/v3"/>
    <xsd:import namespace="dbd605be-08cc-4ad0-9c83-9a4bee790722"/>
    <xsd:import namespace="46a7efbf-8f50-4538-a7e4-ebae49316ec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BillingMetadata" minOccurs="0"/>
                <xsd:element ref="ns2:MediaLengthInSeconds" minOccurs="0"/>
                <xsd:element ref="ns2:No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Proprietà criteri di conformità unificati" ma:hidden="true" ma:internalName="_ip_UnifiedCompliancePolicyProperties">
      <xsd:simpleType>
        <xsd:restriction base="dms:Note"/>
      </xsd:simpleType>
    </xsd:element>
    <xsd:element name="_ip_UnifiedCompliancePolicyUIAction" ma:index="20" nillable="true" ma:displayName="Azione interfaccia utente criteri di conformità unificati"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bd605be-08cc-4ad0-9c83-9a4bee7907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Tag immagine" ma:readOnly="false" ma:fieldId="{5cf76f15-5ced-4ddc-b409-7134ff3c332f}" ma:taxonomyMulti="true" ma:sspId="cb4e1ff1-4910-4b26-8f48-d1ddcd02db2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element name="Note" ma:index="23" nillable="true" ma:displayName="Note" ma:format="Dropdown" ma:internalName="Not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6a7efbf-8f50-4538-a7e4-ebae49316ec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97fd0c2-880b-4fd1-bef7-363c046bb432}" ma:internalName="TaxCatchAll" ma:showField="CatchAllData" ma:web="46a7efbf-8f50-4538-a7e4-ebae49316ec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6a7efbf-8f50-4538-a7e4-ebae49316ec6" xsi:nil="true"/>
    <lcf76f155ced4ddcb4097134ff3c332f xmlns="dbd605be-08cc-4ad0-9c83-9a4bee790722">
      <Terms xmlns="http://schemas.microsoft.com/office/infopath/2007/PartnerControls"/>
    </lcf76f155ced4ddcb4097134ff3c332f>
    <_ip_UnifiedCompliancePolicyUIAction xmlns="http://schemas.microsoft.com/sharepoint/v3" xsi:nil="true"/>
    <Note xmlns="dbd605be-08cc-4ad0-9c83-9a4bee790722"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D1B38F1-2D1E-4A31-AD70-D2EAF4334658}"/>
</file>

<file path=customXml/itemProps2.xml><?xml version="1.0" encoding="utf-8"?>
<ds:datastoreItem xmlns:ds="http://schemas.openxmlformats.org/officeDocument/2006/customXml" ds:itemID="{CB08B365-4974-4C0B-94DC-9E9C097C8D7D}"/>
</file>

<file path=customXml/itemProps3.xml><?xml version="1.0" encoding="utf-8"?>
<ds:datastoreItem xmlns:ds="http://schemas.openxmlformats.org/officeDocument/2006/customXml" ds:itemID="{ACC56CB0-71AE-4EF8-A9B3-CFD4151EE94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2025-10-02T13:58:35Z</dcterms:created>
  <dcterms:modified xsi:type="dcterms:W3CDTF">2026-07-29T13:00:19Z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0x010100B812BB15B263C94DB319C235AA8D604E</vt:lpwstr>
  </property>
  <property fmtid="{D5CDD505-2E9C-101B-9397-08002B2CF9AE}" pid="3" name="MediaServiceImageTags">
    <vt:lpwstr/>
  </property>
  <property fmtid="{D5CDD505-2E9C-101B-9397-08002B2CF9AE}" pid="4" name="MSIP_Label_4cad6431-53ea-4466-8111-3fefa470bcb9_Enabled">
    <vt:lpwstr>true</vt:lpwstr>
  </property>
  <property fmtid="{D5CDD505-2E9C-101B-9397-08002B2CF9AE}" pid="5" name="MSIP_Label_4cad6431-53ea-4466-8111-3fefa470bcb9_SetDate">
    <vt:lpwstr>2026-02-25T09:48:25Z</vt:lpwstr>
  </property>
  <property fmtid="{D5CDD505-2E9C-101B-9397-08002B2CF9AE}" pid="6" name="MSIP_Label_4cad6431-53ea-4466-8111-3fefa470bcb9_Method">
    <vt:lpwstr>Standard</vt:lpwstr>
  </property>
  <property fmtid="{D5CDD505-2E9C-101B-9397-08002B2CF9AE}" pid="7" name="MSIP_Label_4cad6431-53ea-4466-8111-3fefa470bcb9_Name">
    <vt:lpwstr>Usage Interne</vt:lpwstr>
  </property>
  <property fmtid="{D5CDD505-2E9C-101B-9397-08002B2CF9AE}" pid="8" name="MSIP_Label_4cad6431-53ea-4466-8111-3fefa470bcb9_SiteId">
    <vt:lpwstr>fb3baf17-c313-474c-8d5d-577a3ec97a32</vt:lpwstr>
  </property>
  <property fmtid="{D5CDD505-2E9C-101B-9397-08002B2CF9AE}" pid="9" name="MSIP_Label_4cad6431-53ea-4466-8111-3fefa470bcb9_ActionId">
    <vt:lpwstr>19db1b07-a442-4830-b5d8-bb9860a3cf09</vt:lpwstr>
  </property>
  <property fmtid="{D5CDD505-2E9C-101B-9397-08002B2CF9AE}" pid="10" name="MSIP_Label_4cad6431-53ea-4466-8111-3fefa470bcb9_ContentBits">
    <vt:lpwstr>0</vt:lpwstr>
  </property>
  <property fmtid="{D5CDD505-2E9C-101B-9397-08002B2CF9AE}" pid="11" name="MSIP_Label_4cad6431-53ea-4466-8111-3fefa470bcb9_Tag">
    <vt:lpwstr>10, 3, 0, 2</vt:lpwstr>
  </property>
</Properties>
</file>